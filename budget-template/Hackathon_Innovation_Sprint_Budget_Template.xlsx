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Budget vs Actual" sheetId="2" state="visible" r:id="rId2"/>
    <sheet name="Dashboard" sheetId="3" state="visible" r:id="rId3"/>
    <sheet name="Impact &amp; Opportunities" sheetId="4" state="visible" r:id="rId4"/>
    <sheet name="Over-Budget Deep Dive"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2">
    <font>
      <name val="Calibri"/>
      <family val="2"/>
      <color theme="1"/>
      <sz val="11"/>
      <scheme val="minor"/>
    </font>
    <font>
      <name val="Calibri"/>
      <b val="1"/>
      <color rgb="005B3A56"/>
      <sz val="20"/>
    </font>
    <font>
      <name val="Calibri"/>
      <b val="1"/>
      <color rgb="001F2933"/>
      <sz val="12"/>
    </font>
    <font>
      <name val="Calibri"/>
      <color rgb="001F2933"/>
      <sz val="10"/>
    </font>
    <font>
      <name val="Calibri"/>
      <b val="1"/>
      <color rgb="00FFFFFF"/>
      <sz val="18"/>
    </font>
    <font>
      <name val="Calibri"/>
      <b val="1"/>
      <color rgb="001F2933"/>
      <sz val="10"/>
    </font>
    <font>
      <name val="Calibri"/>
      <b val="1"/>
      <color rgb="00FFFFFF"/>
      <sz val="10"/>
    </font>
    <font>
      <name val="Calibri"/>
      <b val="1"/>
      <color rgb="005B3A56"/>
      <sz val="10"/>
    </font>
    <font>
      <name val="Calibri"/>
      <i val="1"/>
      <color rgb="006B7280"/>
      <sz val="9"/>
    </font>
    <font>
      <b val="1"/>
      <color rgb="00FFFFFF"/>
      <sz val="11"/>
    </font>
    <font>
      <b val="1"/>
      <color rgb="005B3A56"/>
      <sz val="12"/>
    </font>
    <font>
      <b val="1"/>
      <color rgb="001F2933"/>
      <sz val="11"/>
    </font>
  </fonts>
  <fills count="6">
    <fill>
      <patternFill/>
    </fill>
    <fill>
      <patternFill patternType="gray125"/>
    </fill>
    <fill>
      <patternFill patternType="solid">
        <fgColor rgb="00E8DCC8"/>
      </patternFill>
    </fill>
    <fill>
      <patternFill patternType="solid">
        <fgColor rgb="005B3A56"/>
      </patternFill>
    </fill>
    <fill>
      <patternFill patternType="solid">
        <fgColor rgb="00F3F1ED"/>
      </patternFill>
    </fill>
    <fill>
      <patternFill patternType="solid">
        <fgColor rgb="00FFFFFF"/>
      </patternFill>
    </fill>
  </fills>
  <borders count="6">
    <border>
      <left/>
      <right/>
      <top/>
      <bottom/>
      <diagonal/>
    </border>
    <border>
      <left style="thin">
        <color rgb="00D9D2C7"/>
      </left>
      <right style="thin">
        <color rgb="00D9D2C7"/>
      </right>
      <top style="thin">
        <color rgb="00D9D2C7"/>
      </top>
      <bottom style="thin">
        <color rgb="00D9D2C7"/>
      </bottom>
    </border>
    <border>
      <left/>
      <right/>
      <top style="thin">
        <color rgb="00D9D2C7"/>
      </top>
      <bottom/>
      <diagonal/>
    </border>
    <border>
      <left/>
      <right style="thin">
        <color rgb="00D9D2C7"/>
      </right>
      <top style="thin">
        <color rgb="00D9D2C7"/>
      </top>
      <bottom/>
      <diagonal/>
    </border>
    <border>
      <left/>
      <right/>
      <top style="thin">
        <color rgb="00D9D2C7"/>
      </top>
      <bottom style="thin">
        <color rgb="00D9D2C7"/>
      </bottom>
      <diagonal/>
    </border>
    <border>
      <left/>
      <right style="thin">
        <color rgb="00D9D2C7"/>
      </right>
      <top style="thin">
        <color rgb="00D9D2C7"/>
      </top>
      <bottom style="thin">
        <color rgb="00D9D2C7"/>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2" borderId="0" applyAlignment="1" pivotButton="0" quotePrefix="0" xfId="0">
      <alignment horizontal="left" vertical="center" indent="1"/>
    </xf>
    <xf numFmtId="0" fontId="3" fillId="0" borderId="0" applyAlignment="1" pivotButton="0" quotePrefix="0" xfId="0">
      <alignment horizontal="left" vertical="top" wrapText="1"/>
    </xf>
    <xf numFmtId="0" fontId="4" fillId="3" borderId="0" applyAlignment="1" pivotButton="0" quotePrefix="0" xfId="0">
      <alignment horizontal="left" vertical="center" indent="1"/>
    </xf>
    <xf numFmtId="0" fontId="5" fillId="0" borderId="0" applyAlignment="1" pivotButton="0" quotePrefix="0" xfId="0">
      <alignment horizontal="right" vertical="center"/>
    </xf>
    <xf numFmtId="0" fontId="3" fillId="4" borderId="1" applyAlignment="1" pivotButton="0" quotePrefix="0" xfId="0">
      <alignment horizontal="left" vertical="center" wrapText="1"/>
    </xf>
    <xf numFmtId="0" fontId="0" fillId="0" borderId="4" pivotButton="0" quotePrefix="0" xfId="0"/>
    <xf numFmtId="0" fontId="0" fillId="0" borderId="5" pivotButton="0" quotePrefix="0" xfId="0"/>
    <xf numFmtId="164" fontId="3" fillId="4" borderId="1" applyAlignment="1" pivotButton="0" quotePrefix="0" xfId="0">
      <alignment horizontal="center" vertical="center" wrapText="1"/>
    </xf>
    <xf numFmtId="1" fontId="3" fillId="4" borderId="1" applyAlignment="1" pivotButton="0" quotePrefix="0" xfId="0">
      <alignment horizontal="center"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left" vertical="top" wrapText="1"/>
    </xf>
    <xf numFmtId="4" fontId="0" fillId="0" borderId="1" applyAlignment="1" pivotButton="0" quotePrefix="0" xfId="0">
      <alignment horizontal="right" vertical="center"/>
    </xf>
    <xf numFmtId="4" fontId="0" fillId="4" borderId="1" applyAlignment="1" pivotButton="0" quotePrefix="0" xfId="0">
      <alignment horizontal="right" vertical="center"/>
    </xf>
    <xf numFmtId="165"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left" vertical="top" wrapText="1"/>
    </xf>
    <xf numFmtId="0" fontId="0" fillId="2" borderId="1" pivotButton="0" quotePrefix="0" xfId="0"/>
    <xf numFmtId="0" fontId="5" fillId="2" borderId="1" pivotButton="0" quotePrefix="0" xfId="0"/>
    <xf numFmtId="4" fontId="0" fillId="2" borderId="1" applyAlignment="1" pivotButton="0" quotePrefix="0" xfId="0">
      <alignment horizontal="right" vertical="center"/>
    </xf>
    <xf numFmtId="165" fontId="0" fillId="2" borderId="1" applyAlignment="1" pivotButton="0" quotePrefix="0" xfId="0">
      <alignment horizontal="center" vertical="center" wrapText="1"/>
    </xf>
    <xf numFmtId="0" fontId="0" fillId="3" borderId="1" pivotButton="0" quotePrefix="0" xfId="0"/>
    <xf numFmtId="0" fontId="9" fillId="3" borderId="1" pivotButton="0" quotePrefix="0" xfId="0"/>
    <xf numFmtId="4" fontId="9" fillId="3" borderId="1" applyAlignment="1" pivotButton="0" quotePrefix="0" xfId="0">
      <alignment horizontal="right" vertical="center"/>
    </xf>
    <xf numFmtId="4" fontId="0" fillId="3" borderId="1" applyAlignment="1" pivotButton="0" quotePrefix="0" xfId="0">
      <alignment horizontal="right" vertical="center"/>
    </xf>
    <xf numFmtId="165" fontId="0" fillId="3" borderId="1" applyAlignment="1" pivotButton="0" quotePrefix="0" xfId="0">
      <alignment horizontal="center" vertical="center" wrapText="1"/>
    </xf>
    <xf numFmtId="0" fontId="8" fillId="0" borderId="0" applyAlignment="1" pivotButton="0" quotePrefix="0" xfId="0">
      <alignment horizontal="left" vertical="top" wrapText="1"/>
    </xf>
    <xf numFmtId="0" fontId="8" fillId="0" borderId="0" pivotButton="0" quotePrefix="0" xfId="0"/>
    <xf numFmtId="165" fontId="0"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3" fillId="0" borderId="1" applyAlignment="1" pivotButton="0" quotePrefix="0" xfId="0">
      <alignment horizontal="left" vertical="center" wrapText="1"/>
    </xf>
    <xf numFmtId="165" fontId="9" fillId="3" borderId="1" applyAlignment="1" pivotButton="0" quotePrefix="0" xfId="0">
      <alignment horizontal="center" vertical="center" wrapText="1"/>
    </xf>
    <xf numFmtId="0" fontId="10" fillId="0" borderId="0" pivotButton="0" quotePrefix="0" xfId="0"/>
    <xf numFmtId="0" fontId="5" fillId="2" borderId="1" applyAlignment="1" pivotButton="0" quotePrefix="0" xfId="0">
      <alignment horizontal="left" vertical="center" wrapText="1"/>
    </xf>
    <xf numFmtId="4" fontId="11" fillId="5" borderId="1" applyAlignment="1" pivotButton="0" quotePrefix="0" xfId="0">
      <alignment horizontal="right" vertical="center"/>
    </xf>
    <xf numFmtId="165" fontId="11" fillId="5" borderId="1" applyAlignment="1" pivotButton="0" quotePrefix="0" xfId="0">
      <alignment horizontal="right" vertical="center"/>
    </xf>
    <xf numFmtId="1" fontId="11" fillId="5" borderId="1" applyAlignment="1" pivotButton="0" quotePrefix="0" xfId="0">
      <alignment horizontal="right" vertical="center"/>
    </xf>
    <xf numFmtId="0" fontId="0" fillId="5" borderId="1" applyAlignment="1" pivotButton="0" quotePrefix="0" xfId="0">
      <alignment horizontal="left" vertical="top" wrapText="1"/>
    </xf>
    <xf numFmtId="4" fontId="0" fillId="5" borderId="1" applyAlignment="1" pivotButton="0" quotePrefix="0" xfId="0">
      <alignment horizontal="right" vertical="center"/>
    </xf>
    <xf numFmtId="165" fontId="0" fillId="5"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dxfs count="3">
    <dxf>
      <font>
        <b val="1"/>
        <color rgb="009B1C1C"/>
      </font>
      <fill>
        <patternFill patternType="solid">
          <fgColor rgb="00F6C6C6"/>
        </patternFill>
      </fill>
    </dxf>
    <dxf>
      <fill>
        <patternFill patternType="solid">
          <fgColor rgb="00DCEAD9"/>
        </patternFill>
      </fill>
    </dxf>
    <dxf>
      <fill>
        <patternFill patternType="solid">
          <fgColor rgb="00FCE8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3" customWidth="1" min="1" max="1"/>
    <col width="104" customWidth="1" min="2" max="2"/>
  </cols>
  <sheetData>
    <row r="2">
      <c r="B2" s="1" t="inlineStr">
        <is>
          <t>Hackathon / Innovation Sprint — Budget Template</t>
        </is>
      </c>
    </row>
    <row r="3">
      <c r="B3" t="inlineStr"/>
    </row>
    <row r="4" ht="22" customHeight="1">
      <c r="B4" s="2" t="inlineStr">
        <is>
          <t>WHAT THIS WORKBOOK DOES</t>
        </is>
      </c>
    </row>
    <row r="5" ht="30" customHeight="1">
      <c r="B5" s="3" t="inlineStr">
        <is>
          <t>Plan the cost of a 20-pax or 50-pax hackathon / innovation sprint, then track budget vs. actual spend on a live project — with automatic flags and a structured place to explain the big swings.</t>
        </is>
      </c>
    </row>
    <row r="6">
      <c r="B6" t="inlineStr"/>
    </row>
    <row r="7" ht="22" customHeight="1">
      <c r="B7" s="2" t="inlineStr">
        <is>
          <t>THE TABS</t>
        </is>
      </c>
    </row>
    <row r="8" ht="30" customHeight="1">
      <c r="B8" s="3" t="inlineStr">
        <is>
          <t>1.  Budget vs Actual  —  the working sheet. Pick your event size, set budgets, log actuals. Any line item that runs &gt;20% over budget is flagged red and a reason becomes required.</t>
        </is>
      </c>
    </row>
    <row r="9" ht="30" customHeight="1">
      <c r="B9" s="3" t="inlineStr">
        <is>
          <t>2.  Dashboard  —  auto-calculated roll-up by category, totals, and the list of flagged over-budget items. Nothing to fill in here.</t>
        </is>
      </c>
    </row>
    <row r="10" ht="30" customHeight="1">
      <c r="B10" s="3" t="inlineStr">
        <is>
          <t>3.  Impact &amp; Opportunities  —  log the spend that punched above its weight and the future opportunities it opened.</t>
        </is>
      </c>
    </row>
    <row r="11" ht="30" customHeight="1">
      <c r="B11" s="3" t="inlineStr">
        <is>
          <t>4.  Over-Budget Deep Dive  —  for each flagged item: the reason, the impact it actually delivered, and the way forward.</t>
        </is>
      </c>
    </row>
    <row r="12">
      <c r="B12" t="inlineStr"/>
    </row>
    <row r="13" ht="22" customHeight="1">
      <c r="B13" s="2" t="inlineStr">
        <is>
          <t>HOW TO USE IT</t>
        </is>
      </c>
    </row>
    <row r="14" ht="30" customHeight="1">
      <c r="B14" s="3" t="inlineStr">
        <is>
          <t>Step 1  —  On 'Budget vs Actual', fill the project header and choose Event size (20 or 50) from the dropdown. The Budgeted column auto-fills from the matching estimate; overwrite any cell with your real quote.</t>
        </is>
      </c>
    </row>
    <row r="15" ht="30" customHeight="1">
      <c r="B15" s="3" t="inlineStr">
        <is>
          <t>Step 2  —  As money is committed, enter the Actual for each line. Variance ($ and %) and the over-budget flag calculate automatically.</t>
        </is>
      </c>
    </row>
    <row r="16" ht="30" customHeight="1">
      <c r="B16" s="3" t="inlineStr">
        <is>
          <t>Step 3  —  Whenever 'Flag' shows ⚠ OVER, write the circumstance in the Reason column. This is the audit trail for spend that ran &gt;20% hot.</t>
        </is>
      </c>
    </row>
    <row r="17" ht="30" customHeight="1">
      <c r="B17" s="3" t="inlineStr">
        <is>
          <t>Step 4  —  After the event, complete 'Impact &amp; Opportunities' and 'Over-Budget Deep Dive' to close the loop on value and learnings.</t>
        </is>
      </c>
    </row>
    <row r="18">
      <c r="B18" t="inlineStr"/>
    </row>
    <row r="19" ht="22" customHeight="1">
      <c r="B19" s="2" t="inlineStr">
        <is>
          <t>CONVENTIONS</t>
        </is>
      </c>
    </row>
    <row r="20" ht="30" customHeight="1">
      <c r="B20" s="3" t="inlineStr">
        <is>
          <t>•  Amounts shipped in the template are ILLUSTRATIVE planning placeholders — replace them with your own quotes.</t>
        </is>
      </c>
    </row>
    <row r="21" ht="30" customHeight="1">
      <c r="B21" s="3" t="inlineStr">
        <is>
          <t>•  Set your currency once in the header cell on 'Budget vs Actual'; it is shown on the Dashboard too.</t>
        </is>
      </c>
    </row>
    <row r="22" ht="30" customHeight="1">
      <c r="B22" s="3" t="inlineStr">
        <is>
          <t>•  Items tagged '(good-to-have)' are optional client-rapport extras — keep, cut, or cost as the relationship warrants.</t>
        </is>
      </c>
    </row>
    <row r="23" ht="30" customHeight="1">
      <c r="B23" s="3" t="inlineStr">
        <is>
          <t>•  The +20% threshold is the trigger for an explanation. You can change it in the header (Variance threshold cell).</t>
        </is>
      </c>
    </row>
  </sheetData>
  <mergeCells count="1">
    <mergeCell ref="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showGridLines="0" workbookViewId="0">
      <pane ySplit="6" topLeftCell="A7" activePane="bottomLeft" state="frozen"/>
      <selection pane="bottomLeft" activeCell="A1" sqref="A1"/>
    </sheetView>
  </sheetViews>
  <sheetFormatPr baseColWidth="8" defaultRowHeight="15"/>
  <cols>
    <col width="22" customWidth="1" min="1" max="1"/>
    <col width="30" customWidth="1" min="2" max="2"/>
    <col width="30" customWidth="1" min="3" max="3"/>
    <col width="13" customWidth="1" min="4" max="4"/>
    <col width="13" customWidth="1" min="5" max="5"/>
    <col width="14" customWidth="1" min="6" max="6"/>
    <col width="14" customWidth="1" min="7" max="7"/>
    <col width="13" customWidth="1" min="8" max="8"/>
    <col width="11" customWidth="1" min="9" max="9"/>
    <col width="13" customWidth="1" min="10" max="10"/>
    <col width="40" customWidth="1" min="11" max="11"/>
  </cols>
  <sheetData>
    <row r="1" ht="30" customHeight="1">
      <c r="A1" s="4" t="inlineStr">
        <is>
          <t>BUDGET vs ACTUAL  —  Hackathon / Innovation Sprint</t>
        </is>
      </c>
    </row>
    <row r="2" ht="20" customHeight="1">
      <c r="A2" s="5" t="inlineStr">
        <is>
          <t>Project / Client:</t>
        </is>
      </c>
      <c r="C2" s="6" t="inlineStr"/>
      <c r="D2" s="7" t="n"/>
      <c r="E2" s="8" t="n"/>
      <c r="F2" s="5" t="inlineStr">
        <is>
          <t>Event date:</t>
        </is>
      </c>
      <c r="G2" s="9" t="inlineStr"/>
    </row>
    <row r="3" ht="20" customHeight="1">
      <c r="A3" s="5" t="inlineStr">
        <is>
          <t>Event size (pax):</t>
        </is>
      </c>
      <c r="B3" s="10" t="n">
        <v>20</v>
      </c>
      <c r="C3" s="5" t="inlineStr">
        <is>
          <t>Currency:</t>
        </is>
      </c>
      <c r="D3" s="11" t="inlineStr">
        <is>
          <t>SGD</t>
        </is>
      </c>
      <c r="F3" s="5" t="inlineStr">
        <is>
          <t>Variance threshold:</t>
        </is>
      </c>
      <c r="G3" s="12" t="n">
        <v>0.2</v>
      </c>
    </row>
    <row r="4" ht="20" customHeight="1">
      <c r="A4" s="5" t="inlineStr">
        <is>
          <t>Contingency %:</t>
        </is>
      </c>
      <c r="B4" s="12" t="n">
        <v>0.1</v>
      </c>
      <c r="C4" s="5" t="inlineStr">
        <is>
          <t>Prepared by:</t>
        </is>
      </c>
      <c r="D4" s="11" t="inlineStr"/>
    </row>
    <row r="6" ht="30" customHeight="1">
      <c r="A6" s="13" t="inlineStr">
        <is>
          <t>Category</t>
        </is>
      </c>
      <c r="B6" s="13" t="inlineStr">
        <is>
          <t>Line item</t>
        </is>
      </c>
      <c r="C6" s="13" t="inlineStr">
        <is>
          <t>Description / assumption</t>
        </is>
      </c>
      <c r="D6" s="13" t="inlineStr">
        <is>
          <t>Est. 20 pax</t>
        </is>
      </c>
      <c r="E6" s="13" t="inlineStr">
        <is>
          <t>Est. 50 pax</t>
        </is>
      </c>
      <c r="F6" s="13" t="inlineStr">
        <is>
          <t>Budgeted</t>
        </is>
      </c>
      <c r="G6" s="13" t="inlineStr">
        <is>
          <t>Actual</t>
        </is>
      </c>
      <c r="H6" s="13" t="inlineStr">
        <is>
          <t>Variance</t>
        </is>
      </c>
      <c r="I6" s="13" t="inlineStr">
        <is>
          <t>Variance %</t>
        </is>
      </c>
      <c r="J6" s="13" t="inlineStr">
        <is>
          <t>Flag</t>
        </is>
      </c>
      <c r="K6" s="13" t="inlineStr">
        <is>
          <t>Reason / circumstances (required if flagged)</t>
        </is>
      </c>
    </row>
    <row r="7" ht="26" customHeight="1">
      <c r="A7" s="14" t="inlineStr">
        <is>
          <t>Venue &amp; Facilities</t>
        </is>
      </c>
      <c r="B7" s="15" t="inlineStr">
        <is>
          <t>Venue hire (full day)</t>
        </is>
      </c>
      <c r="C7" s="16" t="inlineStr">
        <is>
          <t>Main space, full-day rate</t>
        </is>
      </c>
      <c r="D7" s="17" t="n">
        <v>1500</v>
      </c>
      <c r="E7" s="17" t="n">
        <v>3000</v>
      </c>
      <c r="F7" s="17">
        <f>IF($B$3=50,E7,D7)</f>
        <v/>
      </c>
      <c r="G7" s="18" t="n"/>
      <c r="H7" s="17">
        <f>IF(G7="","",G7-F7)</f>
        <v/>
      </c>
      <c r="I7" s="19">
        <f>IF(OR(G7="",F7=0),"",(G7-F7)/F7)</f>
        <v/>
      </c>
      <c r="J7" s="20">
        <f>IF(I7="","",IF(I7&gt;$G$3,"⚠ OVER",IF(I7&lt;-$G$3,"under","ok")))</f>
        <v/>
      </c>
      <c r="K7" s="21" t="n"/>
    </row>
    <row r="8" ht="26" customHeight="1">
      <c r="A8" s="14" t="inlineStr">
        <is>
          <t>Venue &amp; Facilities</t>
        </is>
      </c>
      <c r="B8" s="15" t="inlineStr">
        <is>
          <t>Breakout rooms</t>
        </is>
      </c>
      <c r="C8" s="16" t="inlineStr">
        <is>
          <t>Team rooms for parallel work</t>
        </is>
      </c>
      <c r="D8" s="17" t="n">
        <v>400</v>
      </c>
      <c r="E8" s="17" t="n">
        <v>1000</v>
      </c>
      <c r="F8" s="17">
        <f>IF($B$3=50,E8,D8)</f>
        <v/>
      </c>
      <c r="G8" s="18" t="n"/>
      <c r="H8" s="17">
        <f>IF(G8="","",G8-F8)</f>
        <v/>
      </c>
      <c r="I8" s="19">
        <f>IF(OR(G8="",F8=0),"",(G8-F8)/F8)</f>
        <v/>
      </c>
      <c r="J8" s="20">
        <f>IF(I8="","",IF(I8&gt;$G$3,"⚠ OVER",IF(I8&lt;-$G$3,"under","ok")))</f>
        <v/>
      </c>
      <c r="K8" s="21" t="n"/>
    </row>
    <row r="9" ht="26" customHeight="1">
      <c r="A9" s="14" t="inlineStr">
        <is>
          <t>Venue &amp; Facilities</t>
        </is>
      </c>
      <c r="B9" s="15" t="inlineStr">
        <is>
          <t>AV equipment rental</t>
        </is>
      </c>
      <c r="C9" s="16" t="inlineStr">
        <is>
          <t>Projector, screens, mics, PA</t>
        </is>
      </c>
      <c r="D9" s="17" t="n">
        <v>600</v>
      </c>
      <c r="E9" s="17" t="n">
        <v>1200</v>
      </c>
      <c r="F9" s="17">
        <f>IF($B$3=50,E9,D9)</f>
        <v/>
      </c>
      <c r="G9" s="18" t="n"/>
      <c r="H9" s="17">
        <f>IF(G9="","",G9-F9)</f>
        <v/>
      </c>
      <c r="I9" s="19">
        <f>IF(OR(G9="",F9=0),"",(G9-F9)/F9)</f>
        <v/>
      </c>
      <c r="J9" s="20">
        <f>IF(I9="","",IF(I9&gt;$G$3,"⚠ OVER",IF(I9&lt;-$G$3,"under","ok")))</f>
        <v/>
      </c>
      <c r="K9" s="21" t="n"/>
    </row>
    <row r="10" ht="26" customHeight="1">
      <c r="A10" s="14" t="inlineStr">
        <is>
          <t>Venue &amp; Facilities</t>
        </is>
      </c>
      <c r="B10" s="15" t="inlineStr">
        <is>
          <t>Wifi / bandwidth upgrade</t>
        </is>
      </c>
      <c r="C10" s="16" t="inlineStr">
        <is>
          <t>Guaranteed uplink for demos</t>
        </is>
      </c>
      <c r="D10" s="17" t="n">
        <v>200</v>
      </c>
      <c r="E10" s="17" t="n">
        <v>500</v>
      </c>
      <c r="F10" s="17">
        <f>IF($B$3=50,E10,D10)</f>
        <v/>
      </c>
      <c r="G10" s="18" t="n"/>
      <c r="H10" s="17">
        <f>IF(G10="","",G10-F10)</f>
        <v/>
      </c>
      <c r="I10" s="19">
        <f>IF(OR(G10="",F10=0),"",(G10-F10)/F10)</f>
        <v/>
      </c>
      <c r="J10" s="20">
        <f>IF(I10="","",IF(I10&gt;$G$3,"⚠ OVER",IF(I10&lt;-$G$3,"under","ok")))</f>
        <v/>
      </c>
      <c r="K10" s="21" t="n"/>
    </row>
    <row r="11" ht="26" customHeight="1">
      <c r="A11" s="14" t="inlineStr">
        <is>
          <t>Venue &amp; Facilities</t>
        </is>
      </c>
      <c r="B11" s="15" t="inlineStr">
        <is>
          <t>Furniture / layout reconfig</t>
        </is>
      </c>
      <c r="C11" s="16" t="inlineStr">
        <is>
          <t>Cabaret/cluster setup, tear-down</t>
        </is>
      </c>
      <c r="D11" s="17" t="n">
        <v>150</v>
      </c>
      <c r="E11" s="17" t="n">
        <v>400</v>
      </c>
      <c r="F11" s="17">
        <f>IF($B$3=50,E11,D11)</f>
        <v/>
      </c>
      <c r="G11" s="18" t="n"/>
      <c r="H11" s="17">
        <f>IF(G11="","",G11-F11)</f>
        <v/>
      </c>
      <c r="I11" s="19">
        <f>IF(OR(G11="",F11=0),"",(G11-F11)/F11)</f>
        <v/>
      </c>
      <c r="J11" s="20">
        <f>IF(I11="","",IF(I11&gt;$G$3,"⚠ OVER",IF(I11&lt;-$G$3,"under","ok")))</f>
        <v/>
      </c>
      <c r="K11" s="21" t="n"/>
    </row>
    <row r="12" ht="26" customHeight="1">
      <c r="A12" s="14" t="inlineStr">
        <is>
          <t>Venue &amp; Facilities</t>
        </is>
      </c>
      <c r="B12" s="15" t="inlineStr">
        <is>
          <t>Power / charging stations</t>
        </is>
      </c>
      <c r="C12" s="16" t="inlineStr">
        <is>
          <t>Extension runs, charging carts</t>
        </is>
      </c>
      <c r="D12" s="17" t="n">
        <v>100</v>
      </c>
      <c r="E12" s="17" t="n">
        <v>250</v>
      </c>
      <c r="F12" s="17">
        <f>IF($B$3=50,E12,D12)</f>
        <v/>
      </c>
      <c r="G12" s="18" t="n"/>
      <c r="H12" s="17">
        <f>IF(G12="","",G12-F12)</f>
        <v/>
      </c>
      <c r="I12" s="19">
        <f>IF(OR(G12="",F12=0),"",(G12-F12)/F12)</f>
        <v/>
      </c>
      <c r="J12" s="20">
        <f>IF(I12="","",IF(I12&gt;$G$3,"⚠ OVER",IF(I12&lt;-$G$3,"under","ok")))</f>
        <v/>
      </c>
      <c r="K12" s="21" t="n"/>
    </row>
    <row r="13" ht="26" customHeight="1">
      <c r="A13" s="14" t="inlineStr">
        <is>
          <t>Venue &amp; Facilities</t>
        </is>
      </c>
      <c r="B13" s="15" t="inlineStr">
        <is>
          <t>Cleaning / janitorial</t>
        </is>
      </c>
      <c r="C13" s="16" t="inlineStr">
        <is>
          <t>Mid-event + post-event</t>
        </is>
      </c>
      <c r="D13" s="17" t="n">
        <v>150</v>
      </c>
      <c r="E13" s="17" t="n">
        <v>350</v>
      </c>
      <c r="F13" s="17">
        <f>IF($B$3=50,E13,D13)</f>
        <v/>
      </c>
      <c r="G13" s="18" t="n"/>
      <c r="H13" s="17">
        <f>IF(G13="","",G13-F13)</f>
        <v/>
      </c>
      <c r="I13" s="19">
        <f>IF(OR(G13="",F13=0),"",(G13-F13)/F13)</f>
        <v/>
      </c>
      <c r="J13" s="20">
        <f>IF(I13="","",IF(I13&gt;$G$3,"⚠ OVER",IF(I13&lt;-$G$3,"under","ok")))</f>
        <v/>
      </c>
      <c r="K13" s="21" t="n"/>
    </row>
    <row r="14" ht="26" customHeight="1">
      <c r="A14" s="14" t="inlineStr">
        <is>
          <t>Technology &amp; Tools</t>
        </is>
      </c>
      <c r="B14" s="15" t="inlineStr">
        <is>
          <t>Cloud / API credits</t>
        </is>
      </c>
      <c r="C14" s="16" t="inlineStr">
        <is>
          <t>Prototyping compute &amp; API usage</t>
        </is>
      </c>
      <c r="D14" s="17" t="n">
        <v>300</v>
      </c>
      <c r="E14" s="17" t="n">
        <v>750</v>
      </c>
      <c r="F14" s="17">
        <f>IF($B$3=50,E14,D14)</f>
        <v/>
      </c>
      <c r="G14" s="18" t="n"/>
      <c r="H14" s="17">
        <f>IF(G14="","",G14-F14)</f>
        <v/>
      </c>
      <c r="I14" s="19">
        <f>IF(OR(G14="",F14=0),"",(G14-F14)/F14)</f>
        <v/>
      </c>
      <c r="J14" s="20">
        <f>IF(I14="","",IF(I14&gt;$G$3,"⚠ OVER",IF(I14&lt;-$G$3,"under","ok")))</f>
        <v/>
      </c>
      <c r="K14" s="21" t="n"/>
    </row>
    <row r="15" ht="26" customHeight="1">
      <c r="A15" s="14" t="inlineStr">
        <is>
          <t>Technology &amp; Tools</t>
        </is>
      </c>
      <c r="B15" s="15" t="inlineStr">
        <is>
          <t>Software / SaaS licenses</t>
        </is>
      </c>
      <c r="C15" s="16" t="inlineStr">
        <is>
          <t>Short-term tooling for the sprint</t>
        </is>
      </c>
      <c r="D15" s="17" t="n">
        <v>200</v>
      </c>
      <c r="E15" s="17" t="n">
        <v>500</v>
      </c>
      <c r="F15" s="17">
        <f>IF($B$3=50,E15,D15)</f>
        <v/>
      </c>
      <c r="G15" s="18" t="n"/>
      <c r="H15" s="17">
        <f>IF(G15="","",G15-F15)</f>
        <v/>
      </c>
      <c r="I15" s="19">
        <f>IF(OR(G15="",F15=0),"",(G15-F15)/F15)</f>
        <v/>
      </c>
      <c r="J15" s="20">
        <f>IF(I15="","",IF(I15&gt;$G$3,"⚠ OVER",IF(I15&lt;-$G$3,"under","ok")))</f>
        <v/>
      </c>
      <c r="K15" s="21" t="n"/>
    </row>
    <row r="16" ht="26" customHeight="1">
      <c r="A16" s="14" t="inlineStr">
        <is>
          <t>Technology &amp; Tools</t>
        </is>
      </c>
      <c r="B16" s="15" t="inlineStr">
        <is>
          <t>Collaboration tools</t>
        </is>
      </c>
      <c r="C16" s="16" t="inlineStr">
        <is>
          <t>Miro / FigJam / Slack workspace</t>
        </is>
      </c>
      <c r="D16" s="17" t="n">
        <v>150</v>
      </c>
      <c r="E16" s="17" t="n">
        <v>350</v>
      </c>
      <c r="F16" s="17">
        <f>IF($B$3=50,E16,D16)</f>
        <v/>
      </c>
      <c r="G16" s="18" t="n"/>
      <c r="H16" s="17">
        <f>IF(G16="","",G16-F16)</f>
        <v/>
      </c>
      <c r="I16" s="19">
        <f>IF(OR(G16="",F16=0),"",(G16-F16)/F16)</f>
        <v/>
      </c>
      <c r="J16" s="20">
        <f>IF(I16="","",IF(I16&gt;$G$3,"⚠ OVER",IF(I16&lt;-$G$3,"under","ok")))</f>
        <v/>
      </c>
      <c r="K16" s="21" t="n"/>
    </row>
    <row r="17" ht="26" customHeight="1">
      <c r="A17" s="14" t="inlineStr">
        <is>
          <t>Technology &amp; Tools</t>
        </is>
      </c>
      <c r="B17" s="15" t="inlineStr">
        <is>
          <t>Hardware kits / components</t>
        </is>
      </c>
      <c r="C17" s="16" t="inlineStr">
        <is>
          <t>IoT / maker kits (if applicable)</t>
        </is>
      </c>
      <c r="D17" s="17" t="n">
        <v>0</v>
      </c>
      <c r="E17" s="17" t="n">
        <v>0</v>
      </c>
      <c r="F17" s="17">
        <f>IF($B$3=50,E17,D17)</f>
        <v/>
      </c>
      <c r="G17" s="18" t="n"/>
      <c r="H17" s="17">
        <f>IF(G17="","",G17-F17)</f>
        <v/>
      </c>
      <c r="I17" s="19">
        <f>IF(OR(G17="",F17=0),"",(G17-F17)/F17)</f>
        <v/>
      </c>
      <c r="J17" s="20">
        <f>IF(I17="","",IF(I17&gt;$G$3,"⚠ OVER",IF(I17&lt;-$G$3,"under","ok")))</f>
        <v/>
      </c>
      <c r="K17" s="21" t="n"/>
    </row>
    <row r="18" ht="26" customHeight="1">
      <c r="A18" s="14" t="inlineStr">
        <is>
          <t>Technology &amp; Tools</t>
        </is>
      </c>
      <c r="B18" s="15" t="inlineStr">
        <is>
          <t>Device rental</t>
        </is>
      </c>
      <c r="C18" s="16" t="inlineStr">
        <is>
          <t>Loaner laptops / tablets (if needed)</t>
        </is>
      </c>
      <c r="D18" s="17" t="n">
        <v>0</v>
      </c>
      <c r="E18" s="17" t="n">
        <v>0</v>
      </c>
      <c r="F18" s="17">
        <f>IF($B$3=50,E18,D18)</f>
        <v/>
      </c>
      <c r="G18" s="18" t="n"/>
      <c r="H18" s="17">
        <f>IF(G18="","",G18-F18)</f>
        <v/>
      </c>
      <c r="I18" s="19">
        <f>IF(OR(G18="",F18=0),"",(G18-F18)/F18)</f>
        <v/>
      </c>
      <c r="J18" s="20">
        <f>IF(I18="","",IF(I18&gt;$G$3,"⚠ OVER",IF(I18&lt;-$G$3,"under","ok")))</f>
        <v/>
      </c>
      <c r="K18" s="21" t="n"/>
    </row>
    <row r="19" ht="26" customHeight="1">
      <c r="A19" s="14" t="inlineStr">
        <is>
          <t>Technology &amp; Tools</t>
        </is>
      </c>
      <c r="B19" s="15" t="inlineStr">
        <is>
          <t>Printing &amp; signage</t>
        </is>
      </c>
      <c r="C19" s="16" t="inlineStr">
        <is>
          <t>Wayfinding, schedule, brief packs</t>
        </is>
      </c>
      <c r="D19" s="17" t="n">
        <v>150</v>
      </c>
      <c r="E19" s="17" t="n">
        <v>300</v>
      </c>
      <c r="F19" s="17">
        <f>IF($B$3=50,E19,D19)</f>
        <v/>
      </c>
      <c r="G19" s="18" t="n"/>
      <c r="H19" s="17">
        <f>IF(G19="","",G19-F19)</f>
        <v/>
      </c>
      <c r="I19" s="19">
        <f>IF(OR(G19="",F19=0),"",(G19-F19)/F19)</f>
        <v/>
      </c>
      <c r="J19" s="20">
        <f>IF(I19="","",IF(I19&gt;$G$3,"⚠ OVER",IF(I19&lt;-$G$3,"under","ok")))</f>
        <v/>
      </c>
      <c r="K19" s="21" t="n"/>
    </row>
    <row r="20" ht="26" customHeight="1">
      <c r="A20" s="14" t="inlineStr">
        <is>
          <t>Facilitation &amp; Talent</t>
        </is>
      </c>
      <c r="B20" s="15" t="inlineStr">
        <is>
          <t>Lead facilitator / host</t>
        </is>
      </c>
      <c r="C20" s="16" t="inlineStr">
        <is>
          <t>Design + delivery day rate</t>
        </is>
      </c>
      <c r="D20" s="17" t="n">
        <v>1200</v>
      </c>
      <c r="E20" s="17" t="n">
        <v>1500</v>
      </c>
      <c r="F20" s="17">
        <f>IF($B$3=50,E20,D20)</f>
        <v/>
      </c>
      <c r="G20" s="18" t="n"/>
      <c r="H20" s="17">
        <f>IF(G20="","",G20-F20)</f>
        <v/>
      </c>
      <c r="I20" s="19">
        <f>IF(OR(G20="",F20=0),"",(G20-F20)/F20)</f>
        <v/>
      </c>
      <c r="J20" s="20">
        <f>IF(I20="","",IF(I20&gt;$G$3,"⚠ OVER",IF(I20&lt;-$G$3,"under","ok")))</f>
        <v/>
      </c>
      <c r="K20" s="21" t="n"/>
    </row>
    <row r="21" ht="26" customHeight="1">
      <c r="A21" s="14" t="inlineStr">
        <is>
          <t>Facilitation &amp; Talent</t>
        </is>
      </c>
      <c r="B21" s="15" t="inlineStr">
        <is>
          <t>Co-facilitators / mentors</t>
        </is>
      </c>
      <c r="C21" s="16" t="inlineStr">
        <is>
          <t>Floor coaching, 1 per ~10 pax</t>
        </is>
      </c>
      <c r="D21" s="17" t="n">
        <v>800</v>
      </c>
      <c r="E21" s="17" t="n">
        <v>2000</v>
      </c>
      <c r="F21" s="17">
        <f>IF($B$3=50,E21,D21)</f>
        <v/>
      </c>
      <c r="G21" s="18" t="n"/>
      <c r="H21" s="17">
        <f>IF(G21="","",G21-F21)</f>
        <v/>
      </c>
      <c r="I21" s="19">
        <f>IF(OR(G21="",F21=0),"",(G21-F21)/F21)</f>
        <v/>
      </c>
      <c r="J21" s="20">
        <f>IF(I21="","",IF(I21&gt;$G$3,"⚠ OVER",IF(I21&lt;-$G$3,"under","ok")))</f>
        <v/>
      </c>
      <c r="K21" s="21" t="n"/>
    </row>
    <row r="22" ht="26" customHeight="1">
      <c r="A22" s="14" t="inlineStr">
        <is>
          <t>Facilitation &amp; Talent</t>
        </is>
      </c>
      <c r="B22" s="15" t="inlineStr">
        <is>
          <t>SMEs / guest speakers</t>
        </is>
      </c>
      <c r="C22" s="16" t="inlineStr">
        <is>
          <t>Domain inputs, kick-off talk</t>
        </is>
      </c>
      <c r="D22" s="17" t="n">
        <v>500</v>
      </c>
      <c r="E22" s="17" t="n">
        <v>1000</v>
      </c>
      <c r="F22" s="17">
        <f>IF($B$3=50,E22,D22)</f>
        <v/>
      </c>
      <c r="G22" s="18" t="n"/>
      <c r="H22" s="17">
        <f>IF(G22="","",G22-F22)</f>
        <v/>
      </c>
      <c r="I22" s="19">
        <f>IF(OR(G22="",F22=0),"",(G22-F22)/F22)</f>
        <v/>
      </c>
      <c r="J22" s="20">
        <f>IF(I22="","",IF(I22&gt;$G$3,"⚠ OVER",IF(I22&lt;-$G$3,"under","ok")))</f>
        <v/>
      </c>
      <c r="K22" s="21" t="n"/>
    </row>
    <row r="23" ht="26" customHeight="1">
      <c r="A23" s="14" t="inlineStr">
        <is>
          <t>Facilitation &amp; Talent</t>
        </is>
      </c>
      <c r="B23" s="15" t="inlineStr">
        <is>
          <t>Judges (honorarium)</t>
        </is>
      </c>
      <c r="C23" s="16" t="inlineStr">
        <is>
          <t>Panel for final pitches</t>
        </is>
      </c>
      <c r="D23" s="17" t="n">
        <v>300</v>
      </c>
      <c r="E23" s="17" t="n">
        <v>600</v>
      </c>
      <c r="F23" s="17">
        <f>IF($B$3=50,E23,D23)</f>
        <v/>
      </c>
      <c r="G23" s="18" t="n"/>
      <c r="H23" s="17">
        <f>IF(G23="","",G23-F23)</f>
        <v/>
      </c>
      <c r="I23" s="19">
        <f>IF(OR(G23="",F23=0),"",(G23-F23)/F23)</f>
        <v/>
      </c>
      <c r="J23" s="20">
        <f>IF(I23="","",IF(I23&gt;$G$3,"⚠ OVER",IF(I23&lt;-$G$3,"under","ok")))</f>
        <v/>
      </c>
      <c r="K23" s="21" t="n"/>
    </row>
    <row r="24" ht="26" customHeight="1">
      <c r="A24" s="14" t="inlineStr">
        <is>
          <t>Facilitation &amp; Talent</t>
        </is>
      </c>
      <c r="B24" s="15" t="inlineStr">
        <is>
          <t>Technical support staff</t>
        </is>
      </c>
      <c r="C24" s="16" t="inlineStr">
        <is>
          <t>On-call IT / runner</t>
        </is>
      </c>
      <c r="D24" s="17" t="n">
        <v>300</v>
      </c>
      <c r="E24" s="17" t="n">
        <v>700</v>
      </c>
      <c r="F24" s="17">
        <f>IF($B$3=50,E24,D24)</f>
        <v/>
      </c>
      <c r="G24" s="18" t="n"/>
      <c r="H24" s="17">
        <f>IF(G24="","",G24-F24)</f>
        <v/>
      </c>
      <c r="I24" s="19">
        <f>IF(OR(G24="",F24=0),"",(G24-F24)/F24)</f>
        <v/>
      </c>
      <c r="J24" s="20">
        <f>IF(I24="","",IF(I24&gt;$G$3,"⚠ OVER",IF(I24&lt;-$G$3,"under","ok")))</f>
        <v/>
      </c>
      <c r="K24" s="21" t="n"/>
    </row>
    <row r="25" ht="26" customHeight="1">
      <c r="A25" s="14" t="inlineStr">
        <is>
          <t>Facilitation &amp; Talent</t>
        </is>
      </c>
      <c r="B25" s="15" t="inlineStr">
        <is>
          <t>Photographer / videographer</t>
        </is>
      </c>
      <c r="C25" s="16" t="inlineStr">
        <is>
          <t>Coverage across the day</t>
        </is>
      </c>
      <c r="D25" s="17" t="n">
        <v>600</v>
      </c>
      <c r="E25" s="17" t="n">
        <v>900</v>
      </c>
      <c r="F25" s="17">
        <f>IF($B$3=50,E25,D25)</f>
        <v/>
      </c>
      <c r="G25" s="18" t="n"/>
      <c r="H25" s="17">
        <f>IF(G25="","",G25-F25)</f>
        <v/>
      </c>
      <c r="I25" s="19">
        <f>IF(OR(G25="",F25=0),"",(G25-F25)/F25)</f>
        <v/>
      </c>
      <c r="J25" s="20">
        <f>IF(I25="","",IF(I25&gt;$G$3,"⚠ OVER",IF(I25&lt;-$G$3,"under","ok")))</f>
        <v/>
      </c>
      <c r="K25" s="21" t="n"/>
    </row>
    <row r="26" ht="26" customHeight="1">
      <c r="A26" s="14" t="inlineStr">
        <is>
          <t>Food &amp; Beverage</t>
        </is>
      </c>
      <c r="B26" s="15" t="inlineStr">
        <is>
          <t>Breakfast / arrival pastries</t>
        </is>
      </c>
      <c r="C26" s="16" t="inlineStr">
        <is>
          <t>Per head</t>
        </is>
      </c>
      <c r="D26" s="17" t="n">
        <v>200</v>
      </c>
      <c r="E26" s="17" t="n">
        <v>500</v>
      </c>
      <c r="F26" s="17">
        <f>IF($B$3=50,E26,D26)</f>
        <v/>
      </c>
      <c r="G26" s="18" t="n"/>
      <c r="H26" s="17">
        <f>IF(G26="","",G26-F26)</f>
        <v/>
      </c>
      <c r="I26" s="19">
        <f>IF(OR(G26="",F26=0),"",(G26-F26)/F26)</f>
        <v/>
      </c>
      <c r="J26" s="20">
        <f>IF(I26="","",IF(I26&gt;$G$3,"⚠ OVER",IF(I26&lt;-$G$3,"under","ok")))</f>
        <v/>
      </c>
      <c r="K26" s="21" t="n"/>
    </row>
    <row r="27" ht="26" customHeight="1">
      <c r="A27" s="14" t="inlineStr">
        <is>
          <t>Food &amp; Beverage</t>
        </is>
      </c>
      <c r="B27" s="15" t="inlineStr">
        <is>
          <t>Lunch</t>
        </is>
      </c>
      <c r="C27" s="16" t="inlineStr">
        <is>
          <t>Per head, catered</t>
        </is>
      </c>
      <c r="D27" s="17" t="n">
        <v>400</v>
      </c>
      <c r="E27" s="17" t="n">
        <v>1000</v>
      </c>
      <c r="F27" s="17">
        <f>IF($B$3=50,E27,D27)</f>
        <v/>
      </c>
      <c r="G27" s="18" t="n"/>
      <c r="H27" s="17">
        <f>IF(G27="","",G27-F27)</f>
        <v/>
      </c>
      <c r="I27" s="19">
        <f>IF(OR(G27="",F27=0),"",(G27-F27)/F27)</f>
        <v/>
      </c>
      <c r="J27" s="20">
        <f>IF(I27="","",IF(I27&gt;$G$3,"⚠ OVER",IF(I27&lt;-$G$3,"under","ok")))</f>
        <v/>
      </c>
      <c r="K27" s="21" t="n"/>
    </row>
    <row r="28" ht="26" customHeight="1">
      <c r="A28" s="14" t="inlineStr">
        <is>
          <t>Food &amp; Beverage</t>
        </is>
      </c>
      <c r="B28" s="15" t="inlineStr">
        <is>
          <t>Snacks &amp; energy bites</t>
        </is>
      </c>
      <c r="C28" s="16" t="inlineStr">
        <is>
          <t>Afternoon refuel</t>
        </is>
      </c>
      <c r="D28" s="17" t="n">
        <v>200</v>
      </c>
      <c r="E28" s="17" t="n">
        <v>450</v>
      </c>
      <c r="F28" s="17">
        <f>IF($B$3=50,E28,D28)</f>
        <v/>
      </c>
      <c r="G28" s="18" t="n"/>
      <c r="H28" s="17">
        <f>IF(G28="","",G28-F28)</f>
        <v/>
      </c>
      <c r="I28" s="19">
        <f>IF(OR(G28="",F28=0),"",(G28-F28)/F28)</f>
        <v/>
      </c>
      <c r="J28" s="20">
        <f>IF(I28="","",IF(I28&gt;$G$3,"⚠ OVER",IF(I28&lt;-$G$3,"under","ok")))</f>
        <v/>
      </c>
      <c r="K28" s="21" t="n"/>
    </row>
    <row r="29" ht="26" customHeight="1">
      <c r="A29" s="14" t="inlineStr">
        <is>
          <t>Food &amp; Beverage</t>
        </is>
      </c>
      <c r="B29" s="15" t="inlineStr">
        <is>
          <t>Coffee / tea / beverages</t>
        </is>
      </c>
      <c r="C29" s="16" t="inlineStr">
        <is>
          <t>All-day station</t>
        </is>
      </c>
      <c r="D29" s="17" t="n">
        <v>250</v>
      </c>
      <c r="E29" s="17" t="n">
        <v>550</v>
      </c>
      <c r="F29" s="17">
        <f>IF($B$3=50,E29,D29)</f>
        <v/>
      </c>
      <c r="G29" s="18" t="n"/>
      <c r="H29" s="17">
        <f>IF(G29="","",G29-F29)</f>
        <v/>
      </c>
      <c r="I29" s="19">
        <f>IF(OR(G29="",F29=0),"",(G29-F29)/F29)</f>
        <v/>
      </c>
      <c r="J29" s="20">
        <f>IF(I29="","",IF(I29&gt;$G$3,"⚠ OVER",IF(I29&lt;-$G$3,"under","ok")))</f>
        <v/>
      </c>
      <c r="K29" s="21" t="n"/>
    </row>
    <row r="30" ht="26" customHeight="1">
      <c r="A30" s="14" t="inlineStr">
        <is>
          <t>Food &amp; Beverage</t>
        </is>
      </c>
      <c r="B30" s="15" t="inlineStr">
        <is>
          <t>Dietary requirements buffer</t>
        </is>
      </c>
      <c r="C30" s="16" t="inlineStr">
        <is>
          <t>Halal / vegan / allergen</t>
        </is>
      </c>
      <c r="D30" s="17" t="n">
        <v>100</v>
      </c>
      <c r="E30" s="17" t="n">
        <v>250</v>
      </c>
      <c r="F30" s="17">
        <f>IF($B$3=50,E30,D30)</f>
        <v/>
      </c>
      <c r="G30" s="18" t="n"/>
      <c r="H30" s="17">
        <f>IF(G30="","",G30-F30)</f>
        <v/>
      </c>
      <c r="I30" s="19">
        <f>IF(OR(G30="",F30=0),"",(G30-F30)/F30)</f>
        <v/>
      </c>
      <c r="J30" s="20">
        <f>IF(I30="","",IF(I30&gt;$G$3,"⚠ OVER",IF(I30&lt;-$G$3,"under","ok")))</f>
        <v/>
      </c>
      <c r="K30" s="21" t="n"/>
    </row>
    <row r="31" ht="26" customHeight="1">
      <c r="A31" s="14" t="inlineStr">
        <is>
          <t>Food &amp; Beverage</t>
        </is>
      </c>
      <c r="B31" s="15" t="inlineStr">
        <is>
          <t>Closing reception F&amp;B  (good-to-have)</t>
        </is>
      </c>
      <c r="C31" s="16" t="inlineStr">
        <is>
          <t>Celebratory wrap</t>
        </is>
      </c>
      <c r="D31" s="17" t="n">
        <v>400</v>
      </c>
      <c r="E31" s="17" t="n">
        <v>1000</v>
      </c>
      <c r="F31" s="17">
        <f>IF($B$3=50,E31,D31)</f>
        <v/>
      </c>
      <c r="G31" s="18" t="n"/>
      <c r="H31" s="17">
        <f>IF(G31="","",G31-F31)</f>
        <v/>
      </c>
      <c r="I31" s="19">
        <f>IF(OR(G31="",F31=0),"",(G31-F31)/F31)</f>
        <v/>
      </c>
      <c r="J31" s="20">
        <f>IF(I31="","",IF(I31&gt;$G$3,"⚠ OVER",IF(I31&lt;-$G$3,"under","ok")))</f>
        <v/>
      </c>
      <c r="K31" s="21" t="n"/>
    </row>
    <row r="32" ht="26" customHeight="1">
      <c r="A32" s="14" t="inlineStr">
        <is>
          <t>Participant Experience</t>
        </is>
      </c>
      <c r="B32" s="15" t="inlineStr">
        <is>
          <t>Welcome kit / swag</t>
        </is>
      </c>
      <c r="C32" s="16" t="inlineStr">
        <is>
          <t>Notebook, sticker, essentials</t>
        </is>
      </c>
      <c r="D32" s="17" t="n">
        <v>400</v>
      </c>
      <c r="E32" s="17" t="n">
        <v>900</v>
      </c>
      <c r="F32" s="17">
        <f>IF($B$3=50,E32,D32)</f>
        <v/>
      </c>
      <c r="G32" s="18" t="n"/>
      <c r="H32" s="17">
        <f>IF(G32="","",G32-F32)</f>
        <v/>
      </c>
      <c r="I32" s="19">
        <f>IF(OR(G32="",F32=0),"",(G32-F32)/F32)</f>
        <v/>
      </c>
      <c r="J32" s="20">
        <f>IF(I32="","",IF(I32&gt;$G$3,"⚠ OVER",IF(I32&lt;-$G$3,"under","ok")))</f>
        <v/>
      </c>
      <c r="K32" s="21" t="n"/>
    </row>
    <row r="33" ht="26" customHeight="1">
      <c r="A33" s="14" t="inlineStr">
        <is>
          <t>Participant Experience</t>
        </is>
      </c>
      <c r="B33" s="15" t="inlineStr">
        <is>
          <t>Name badges &amp; lanyards</t>
        </is>
      </c>
      <c r="C33" s="16" t="inlineStr">
        <is>
          <t>Printed + holders</t>
        </is>
      </c>
      <c r="D33" s="17" t="n">
        <v>80</v>
      </c>
      <c r="E33" s="17" t="n">
        <v>180</v>
      </c>
      <c r="F33" s="17">
        <f>IF($B$3=50,E33,D33)</f>
        <v/>
      </c>
      <c r="G33" s="18" t="n"/>
      <c r="H33" s="17">
        <f>IF(G33="","",G33-F33)</f>
        <v/>
      </c>
      <c r="I33" s="19">
        <f>IF(OR(G33="",F33=0),"",(G33-F33)/F33)</f>
        <v/>
      </c>
      <c r="J33" s="20">
        <f>IF(I33="","",IF(I33&gt;$G$3,"⚠ OVER",IF(I33&lt;-$G$3,"under","ok")))</f>
        <v/>
      </c>
      <c r="K33" s="21" t="n"/>
    </row>
    <row r="34" ht="26" customHeight="1">
      <c r="A34" s="14" t="inlineStr">
        <is>
          <t>Participant Experience</t>
        </is>
      </c>
      <c r="B34" s="15" t="inlineStr">
        <is>
          <t>Stationery &amp; materials</t>
        </is>
      </c>
      <c r="C34" s="16" t="inlineStr">
        <is>
          <t>Post-its, markers, paper, dots</t>
        </is>
      </c>
      <c r="D34" s="17" t="n">
        <v>150</v>
      </c>
      <c r="E34" s="17" t="n">
        <v>350</v>
      </c>
      <c r="F34" s="17">
        <f>IF($B$3=50,E34,D34)</f>
        <v/>
      </c>
      <c r="G34" s="18" t="n"/>
      <c r="H34" s="17">
        <f>IF(G34="","",G34-F34)</f>
        <v/>
      </c>
      <c r="I34" s="19">
        <f>IF(OR(G34="",F34=0),"",(G34-F34)/F34)</f>
        <v/>
      </c>
      <c r="J34" s="20">
        <f>IF(I34="","",IF(I34&gt;$G$3,"⚠ OVER",IF(I34&lt;-$G$3,"under","ok")))</f>
        <v/>
      </c>
      <c r="K34" s="21" t="n"/>
    </row>
    <row r="35" ht="26" customHeight="1">
      <c r="A35" s="14" t="inlineStr">
        <is>
          <t>Participant Experience</t>
        </is>
      </c>
      <c r="B35" s="15" t="inlineStr">
        <is>
          <t>Prizes / awards</t>
        </is>
      </c>
      <c r="C35" s="16" t="inlineStr">
        <is>
          <t>Winning + runner-up teams</t>
        </is>
      </c>
      <c r="D35" s="17" t="n">
        <v>1000</v>
      </c>
      <c r="E35" s="17" t="n">
        <v>2000</v>
      </c>
      <c r="F35" s="17">
        <f>IF($B$3=50,E35,D35)</f>
        <v/>
      </c>
      <c r="G35" s="18" t="n"/>
      <c r="H35" s="17">
        <f>IF(G35="","",G35-F35)</f>
        <v/>
      </c>
      <c r="I35" s="19">
        <f>IF(OR(G35="",F35=0),"",(G35-F35)/F35)</f>
        <v/>
      </c>
      <c r="J35" s="20">
        <f>IF(I35="","",IF(I35&gt;$G$3,"⚠ OVER",IF(I35&lt;-$G$3,"under","ok")))</f>
        <v/>
      </c>
      <c r="K35" s="21" t="n"/>
    </row>
    <row r="36" ht="26" customHeight="1">
      <c r="A36" s="14" t="inlineStr">
        <is>
          <t>Participant Experience</t>
        </is>
      </c>
      <c r="B36" s="15" t="inlineStr">
        <is>
          <t>Certificates</t>
        </is>
      </c>
      <c r="C36" s="16" t="inlineStr">
        <is>
          <t>Printed / digital</t>
        </is>
      </c>
      <c r="D36" s="17" t="n">
        <v>50</v>
      </c>
      <c r="E36" s="17" t="n">
        <v>120</v>
      </c>
      <c r="F36" s="17">
        <f>IF($B$3=50,E36,D36)</f>
        <v/>
      </c>
      <c r="G36" s="18" t="n"/>
      <c r="H36" s="17">
        <f>IF(G36="","",G36-F36)</f>
        <v/>
      </c>
      <c r="I36" s="19">
        <f>IF(OR(G36="",F36=0),"",(G36-F36)/F36)</f>
        <v/>
      </c>
      <c r="J36" s="20">
        <f>IF(I36="","",IF(I36&gt;$G$3,"⚠ OVER",IF(I36&lt;-$G$3,"under","ok")))</f>
        <v/>
      </c>
      <c r="K36" s="21" t="n"/>
    </row>
    <row r="37" ht="26" customHeight="1">
      <c r="A37" s="14" t="inlineStr">
        <is>
          <t>Marketing &amp; Communications</t>
        </is>
      </c>
      <c r="B37" s="15" t="inlineStr">
        <is>
          <t>Event branding &amp; design</t>
        </is>
      </c>
      <c r="C37" s="16" t="inlineStr">
        <is>
          <t>Identity, deck, templates</t>
        </is>
      </c>
      <c r="D37" s="17" t="n">
        <v>500</v>
      </c>
      <c r="E37" s="17" t="n">
        <v>800</v>
      </c>
      <c r="F37" s="17">
        <f>IF($B$3=50,E37,D37)</f>
        <v/>
      </c>
      <c r="G37" s="18" t="n"/>
      <c r="H37" s="17">
        <f>IF(G37="","",G37-F37)</f>
        <v/>
      </c>
      <c r="I37" s="19">
        <f>IF(OR(G37="",F37=0),"",(G37-F37)/F37)</f>
        <v/>
      </c>
      <c r="J37" s="20">
        <f>IF(I37="","",IF(I37&gt;$G$3,"⚠ OVER",IF(I37&lt;-$G$3,"under","ok")))</f>
        <v/>
      </c>
      <c r="K37" s="21" t="n"/>
    </row>
    <row r="38" ht="26" customHeight="1">
      <c r="A38" s="14" t="inlineStr">
        <is>
          <t>Marketing &amp; Communications</t>
        </is>
      </c>
      <c r="B38" s="15" t="inlineStr">
        <is>
          <t>Printed collateral &amp; banners</t>
        </is>
      </c>
      <c r="C38" s="16" t="inlineStr">
        <is>
          <t>Backdrop, standees</t>
        </is>
      </c>
      <c r="D38" s="17" t="n">
        <v>200</v>
      </c>
      <c r="E38" s="17" t="n">
        <v>400</v>
      </c>
      <c r="F38" s="17">
        <f>IF($B$3=50,E38,D38)</f>
        <v/>
      </c>
      <c r="G38" s="18" t="n"/>
      <c r="H38" s="17">
        <f>IF(G38="","",G38-F38)</f>
        <v/>
      </c>
      <c r="I38" s="19">
        <f>IF(OR(G38="",F38=0),"",(G38-F38)/F38)</f>
        <v/>
      </c>
      <c r="J38" s="20">
        <f>IF(I38="","",IF(I38&gt;$G$3,"⚠ OVER",IF(I38&lt;-$G$3,"under","ok")))</f>
        <v/>
      </c>
      <c r="K38" s="21" t="n"/>
    </row>
    <row r="39" ht="26" customHeight="1">
      <c r="A39" s="14" t="inlineStr">
        <is>
          <t>Marketing &amp; Communications</t>
        </is>
      </c>
      <c r="B39" s="15" t="inlineStr">
        <is>
          <t>Photo / video editing</t>
        </is>
      </c>
      <c r="C39" s="16" t="inlineStr">
        <is>
          <t>Highlight reel, recap edit</t>
        </is>
      </c>
      <c r="D39" s="17" t="n">
        <v>500</v>
      </c>
      <c r="E39" s="17" t="n">
        <v>900</v>
      </c>
      <c r="F39" s="17">
        <f>IF($B$3=50,E39,D39)</f>
        <v/>
      </c>
      <c r="G39" s="18" t="n"/>
      <c r="H39" s="17">
        <f>IF(G39="","",G39-F39)</f>
        <v/>
      </c>
      <c r="I39" s="19">
        <f>IF(OR(G39="",F39=0),"",(G39-F39)/F39)</f>
        <v/>
      </c>
      <c r="J39" s="20">
        <f>IF(I39="","",IF(I39&gt;$G$3,"⚠ OVER",IF(I39&lt;-$G$3,"under","ok")))</f>
        <v/>
      </c>
      <c r="K39" s="21" t="n"/>
    </row>
    <row r="40" ht="26" customHeight="1">
      <c r="A40" s="14" t="inlineStr">
        <is>
          <t>Marketing &amp; Communications</t>
        </is>
      </c>
      <c r="B40" s="15" t="inlineStr">
        <is>
          <t>Social media / promotion</t>
        </is>
      </c>
      <c r="C40" s="16" t="inlineStr">
        <is>
          <t>Pre / during / post posts</t>
        </is>
      </c>
      <c r="D40" s="17" t="n">
        <v>200</v>
      </c>
      <c r="E40" s="17" t="n">
        <v>500</v>
      </c>
      <c r="F40" s="17">
        <f>IF($B$3=50,E40,D40)</f>
        <v/>
      </c>
      <c r="G40" s="18" t="n"/>
      <c r="H40" s="17">
        <f>IF(G40="","",G40-F40)</f>
        <v/>
      </c>
      <c r="I40" s="19">
        <f>IF(OR(G40="",F40=0),"",(G40-F40)/F40)</f>
        <v/>
      </c>
      <c r="J40" s="20">
        <f>IF(I40="","",IF(I40&gt;$G$3,"⚠ OVER",IF(I40&lt;-$G$3,"under","ok")))</f>
        <v/>
      </c>
      <c r="K40" s="21" t="n"/>
    </row>
    <row r="41" ht="26" customHeight="1">
      <c r="A41" s="14" t="inlineStr">
        <is>
          <t>Logistics &amp; Operations</t>
        </is>
      </c>
      <c r="B41" s="15" t="inlineStr">
        <is>
          <t>Transportation / parking</t>
        </is>
      </c>
      <c r="C41" s="16" t="inlineStr">
        <is>
          <t>Validations, shuttles</t>
        </is>
      </c>
      <c r="D41" s="17" t="n">
        <v>150</v>
      </c>
      <c r="E41" s="17" t="n">
        <v>350</v>
      </c>
      <c r="F41" s="17">
        <f>IF($B$3=50,E41,D41)</f>
        <v/>
      </c>
      <c r="G41" s="18" t="n"/>
      <c r="H41" s="17">
        <f>IF(G41="","",G41-F41)</f>
        <v/>
      </c>
      <c r="I41" s="19">
        <f>IF(OR(G41="",F41=0),"",(G41-F41)/F41)</f>
        <v/>
      </c>
      <c r="J41" s="20">
        <f>IF(I41="","",IF(I41&gt;$G$3,"⚠ OVER",IF(I41&lt;-$G$3,"under","ok")))</f>
        <v/>
      </c>
      <c r="K41" s="21" t="n"/>
    </row>
    <row r="42" ht="26" customHeight="1">
      <c r="A42" s="14" t="inlineStr">
        <is>
          <t>Logistics &amp; Operations</t>
        </is>
      </c>
      <c r="B42" s="15" t="inlineStr">
        <is>
          <t>Speaker / facilitator travel</t>
        </is>
      </c>
      <c r="C42" s="16" t="inlineStr">
        <is>
          <t>Transport for talent</t>
        </is>
      </c>
      <c r="D42" s="17" t="n">
        <v>200</v>
      </c>
      <c r="E42" s="17" t="n">
        <v>500</v>
      </c>
      <c r="F42" s="17">
        <f>IF($B$3=50,E42,D42)</f>
        <v/>
      </c>
      <c r="G42" s="18" t="n"/>
      <c r="H42" s="17">
        <f>IF(G42="","",G42-F42)</f>
        <v/>
      </c>
      <c r="I42" s="19">
        <f>IF(OR(G42="",F42=0),"",(G42-F42)/F42)</f>
        <v/>
      </c>
      <c r="J42" s="20">
        <f>IF(I42="","",IF(I42&gt;$G$3,"⚠ OVER",IF(I42&lt;-$G$3,"under","ok")))</f>
        <v/>
      </c>
      <c r="K42" s="21" t="n"/>
    </row>
    <row r="43" ht="26" customHeight="1">
      <c r="A43" s="14" t="inlineStr">
        <is>
          <t>Logistics &amp; Operations</t>
        </is>
      </c>
      <c r="B43" s="15" t="inlineStr">
        <is>
          <t>Accommodation</t>
        </is>
      </c>
      <c r="C43" s="16" t="inlineStr">
        <is>
          <t>Out-of-town guests (if needed)</t>
        </is>
      </c>
      <c r="D43" s="17" t="n">
        <v>0</v>
      </c>
      <c r="E43" s="17" t="n">
        <v>0</v>
      </c>
      <c r="F43" s="17">
        <f>IF($B$3=50,E43,D43)</f>
        <v/>
      </c>
      <c r="G43" s="18" t="n"/>
      <c r="H43" s="17">
        <f>IF(G43="","",G43-F43)</f>
        <v/>
      </c>
      <c r="I43" s="19">
        <f>IF(OR(G43="",F43=0),"",(G43-F43)/F43)</f>
        <v/>
      </c>
      <c r="J43" s="20">
        <f>IF(I43="","",IF(I43&gt;$G$3,"⚠ OVER",IF(I43&lt;-$G$3,"under","ok")))</f>
        <v/>
      </c>
      <c r="K43" s="21" t="n"/>
    </row>
    <row r="44" ht="26" customHeight="1">
      <c r="A44" s="14" t="inlineStr">
        <is>
          <t>Logistics &amp; Operations</t>
        </is>
      </c>
      <c r="B44" s="15" t="inlineStr">
        <is>
          <t>Shipping / courier</t>
        </is>
      </c>
      <c r="C44" s="16" t="inlineStr">
        <is>
          <t>Kit &amp; equipment movement</t>
        </is>
      </c>
      <c r="D44" s="17" t="n">
        <v>100</v>
      </c>
      <c r="E44" s="17" t="n">
        <v>200</v>
      </c>
      <c r="F44" s="17">
        <f>IF($B$3=50,E44,D44)</f>
        <v/>
      </c>
      <c r="G44" s="18" t="n"/>
      <c r="H44" s="17">
        <f>IF(G44="","",G44-F44)</f>
        <v/>
      </c>
      <c r="I44" s="19">
        <f>IF(OR(G44="",F44=0),"",(G44-F44)/F44)</f>
        <v/>
      </c>
      <c r="J44" s="20">
        <f>IF(I44="","",IF(I44&gt;$G$3,"⚠ OVER",IF(I44&lt;-$G$3,"under","ok")))</f>
        <v/>
      </c>
      <c r="K44" s="21" t="n"/>
    </row>
    <row r="45" ht="26" customHeight="1">
      <c r="A45" s="14" t="inlineStr">
        <is>
          <t>Logistics &amp; Operations</t>
        </is>
      </c>
      <c r="B45" s="15" t="inlineStr">
        <is>
          <t>Insurance / permits</t>
        </is>
      </c>
      <c r="C45" s="16" t="inlineStr">
        <is>
          <t>Event cover, licences</t>
        </is>
      </c>
      <c r="D45" s="17" t="n">
        <v>200</v>
      </c>
      <c r="E45" s="17" t="n">
        <v>400</v>
      </c>
      <c r="F45" s="17">
        <f>IF($B$3=50,E45,D45)</f>
        <v/>
      </c>
      <c r="G45" s="18" t="n"/>
      <c r="H45" s="17">
        <f>IF(G45="","",G45-F45)</f>
        <v/>
      </c>
      <c r="I45" s="19">
        <f>IF(OR(G45="",F45=0),"",(G45-F45)/F45)</f>
        <v/>
      </c>
      <c r="J45" s="20">
        <f>IF(I45="","",IF(I45&gt;$G$3,"⚠ OVER",IF(I45&lt;-$G$3,"under","ok")))</f>
        <v/>
      </c>
      <c r="K45" s="21" t="n"/>
    </row>
    <row r="46" ht="26" customHeight="1">
      <c r="A46" s="14" t="inlineStr">
        <is>
          <t>Logistics &amp; Operations</t>
        </is>
      </c>
      <c r="B46" s="15" t="inlineStr">
        <is>
          <t>First aid / safety</t>
        </is>
      </c>
      <c r="C46" s="16" t="inlineStr">
        <is>
          <t>Kit, on-site cover</t>
        </is>
      </c>
      <c r="D46" s="17" t="n">
        <v>80</v>
      </c>
      <c r="E46" s="17" t="n">
        <v>150</v>
      </c>
      <c r="F46" s="17">
        <f>IF($B$3=50,E46,D46)</f>
        <v/>
      </c>
      <c r="G46" s="18" t="n"/>
      <c r="H46" s="17">
        <f>IF(G46="","",G46-F46)</f>
        <v/>
      </c>
      <c r="I46" s="19">
        <f>IF(OR(G46="",F46=0),"",(G46-F46)/F46)</f>
        <v/>
      </c>
      <c r="J46" s="20">
        <f>IF(I46="","",IF(I46&gt;$G$3,"⚠ OVER",IF(I46&lt;-$G$3,"under","ok")))</f>
        <v/>
      </c>
      <c r="K46" s="21" t="n"/>
    </row>
    <row r="47" ht="26" customHeight="1">
      <c r="A47" s="14" t="inlineStr">
        <is>
          <t>Client Rapport / Good-to-haves</t>
        </is>
      </c>
      <c r="B47" s="15" t="inlineStr">
        <is>
          <t>Premium welcome (barista cart)  (good-to-have)</t>
        </is>
      </c>
      <c r="C47" s="16" t="inlineStr">
        <is>
          <t>Wow-moment on arrival</t>
        </is>
      </c>
      <c r="D47" s="17" t="n">
        <v>400</v>
      </c>
      <c r="E47" s="17" t="n">
        <v>800</v>
      </c>
      <c r="F47" s="17">
        <f>IF($B$3=50,E47,D47)</f>
        <v/>
      </c>
      <c r="G47" s="18" t="n"/>
      <c r="H47" s="17">
        <f>IF(G47="","",G47-F47)</f>
        <v/>
      </c>
      <c r="I47" s="19">
        <f>IF(OR(G47="",F47=0),"",(G47-F47)/F47)</f>
        <v/>
      </c>
      <c r="J47" s="20">
        <f>IF(I47="","",IF(I47&gt;$G$3,"⚠ OVER",IF(I47&lt;-$G$3,"under","ok")))</f>
        <v/>
      </c>
      <c r="K47" s="21" t="n"/>
    </row>
    <row r="48" ht="26" customHeight="1">
      <c r="A48" s="14" t="inlineStr">
        <is>
          <t>Client Rapport / Good-to-haves</t>
        </is>
      </c>
      <c r="B48" s="15" t="inlineStr">
        <is>
          <t>Premium branded swag upgrade  (good-to-have)</t>
        </is>
      </c>
      <c r="C48" s="16" t="inlineStr">
        <is>
          <t>Apparel / quality merch</t>
        </is>
      </c>
      <c r="D48" s="17" t="n">
        <v>300</v>
      </c>
      <c r="E48" s="17" t="n">
        <v>750</v>
      </c>
      <c r="F48" s="17">
        <f>IF($B$3=50,E48,D48)</f>
        <v/>
      </c>
      <c r="G48" s="18" t="n"/>
      <c r="H48" s="17">
        <f>IF(G48="","",G48-F48)</f>
        <v/>
      </c>
      <c r="I48" s="19">
        <f>IF(OR(G48="",F48=0),"",(G48-F48)/F48)</f>
        <v/>
      </c>
      <c r="J48" s="20">
        <f>IF(I48="","",IF(I48&gt;$G$3,"⚠ OVER",IF(I48&lt;-$G$3,"under","ok")))</f>
        <v/>
      </c>
      <c r="K48" s="21" t="n"/>
    </row>
    <row r="49" ht="26" customHeight="1">
      <c r="A49" s="14" t="inlineStr">
        <is>
          <t>Client Rapport / Good-to-haves</t>
        </is>
      </c>
      <c r="B49" s="15" t="inlineStr">
        <is>
          <t>Networking / closing celebration  (good-to-have)</t>
        </is>
      </c>
      <c r="C49" s="16" t="inlineStr">
        <is>
          <t>Drinks + canapes</t>
        </is>
      </c>
      <c r="D49" s="17" t="n">
        <v>500</v>
      </c>
      <c r="E49" s="17" t="n">
        <v>1200</v>
      </c>
      <c r="F49" s="17">
        <f>IF($B$3=50,E49,D49)</f>
        <v/>
      </c>
      <c r="G49" s="18" t="n"/>
      <c r="H49" s="17">
        <f>IF(G49="","",G49-F49)</f>
        <v/>
      </c>
      <c r="I49" s="19">
        <f>IF(OR(G49="",F49=0),"",(G49-F49)/F49)</f>
        <v/>
      </c>
      <c r="J49" s="20">
        <f>IF(I49="","",IF(I49&gt;$G$3,"⚠ OVER",IF(I49&lt;-$G$3,"under","ok")))</f>
        <v/>
      </c>
      <c r="K49" s="21" t="n"/>
    </row>
    <row r="50" ht="26" customHeight="1">
      <c r="A50" s="14" t="inlineStr">
        <is>
          <t>Client Rapport / Good-to-haves</t>
        </is>
      </c>
      <c r="B50" s="15" t="inlineStr">
        <is>
          <t>Executive gift / token  (good-to-have)</t>
        </is>
      </c>
      <c r="C50" s="16" t="inlineStr">
        <is>
          <t>For client stakeholders</t>
        </is>
      </c>
      <c r="D50" s="17" t="n">
        <v>200</v>
      </c>
      <c r="E50" s="17" t="n">
        <v>400</v>
      </c>
      <c r="F50" s="17">
        <f>IF($B$3=50,E50,D50)</f>
        <v/>
      </c>
      <c r="G50" s="18" t="n"/>
      <c r="H50" s="17">
        <f>IF(G50="","",G50-F50)</f>
        <v/>
      </c>
      <c r="I50" s="19">
        <f>IF(OR(G50="",F50=0),"",(G50-F50)/F50)</f>
        <v/>
      </c>
      <c r="J50" s="20">
        <f>IF(I50="","",IF(I50&gt;$G$3,"⚠ OVER",IF(I50&lt;-$G$3,"under","ok")))</f>
        <v/>
      </c>
      <c r="K50" s="21" t="n"/>
    </row>
    <row r="51" ht="26" customHeight="1">
      <c r="A51" s="14" t="inlineStr">
        <is>
          <t>Client Rapport / Good-to-haves</t>
        </is>
      </c>
      <c r="B51" s="15" t="inlineStr">
        <is>
          <t>Cinematic highlight video  (good-to-have)</t>
        </is>
      </c>
      <c r="C51" s="16" t="inlineStr">
        <is>
          <t>Polished hero film</t>
        </is>
      </c>
      <c r="D51" s="17" t="n">
        <v>800</v>
      </c>
      <c r="E51" s="17" t="n">
        <v>1500</v>
      </c>
      <c r="F51" s="17">
        <f>IF($B$3=50,E51,D51)</f>
        <v/>
      </c>
      <c r="G51" s="18" t="n"/>
      <c r="H51" s="17">
        <f>IF(G51="","",G51-F51)</f>
        <v/>
      </c>
      <c r="I51" s="19">
        <f>IF(OR(G51="",F51=0),"",(G51-F51)/F51)</f>
        <v/>
      </c>
      <c r="J51" s="20">
        <f>IF(I51="","",IF(I51&gt;$G$3,"⚠ OVER",IF(I51&lt;-$G$3,"under","ok")))</f>
        <v/>
      </c>
      <c r="K51" s="21" t="n"/>
    </row>
    <row r="52" ht="26" customHeight="1">
      <c r="A52" s="14" t="inlineStr">
        <is>
          <t>Client Rapport / Good-to-haves</t>
        </is>
      </c>
      <c r="B52" s="15" t="inlineStr">
        <is>
          <t>Post-event impact report &amp; deck  (good-to-have)</t>
        </is>
      </c>
      <c r="C52" s="16" t="inlineStr">
        <is>
          <t>Outcomes + ROI narrative</t>
        </is>
      </c>
      <c r="D52" s="17" t="n">
        <v>500</v>
      </c>
      <c r="E52" s="17" t="n">
        <v>800</v>
      </c>
      <c r="F52" s="17">
        <f>IF($B$3=50,E52,D52)</f>
        <v/>
      </c>
      <c r="G52" s="18" t="n"/>
      <c r="H52" s="17">
        <f>IF(G52="","",G52-F52)</f>
        <v/>
      </c>
      <c r="I52" s="19">
        <f>IF(OR(G52="",F52=0),"",(G52-F52)/F52)</f>
        <v/>
      </c>
      <c r="J52" s="20">
        <f>IF(I52="","",IF(I52&gt;$G$3,"⚠ OVER",IF(I52&lt;-$G$3,"under","ok")))</f>
        <v/>
      </c>
      <c r="K52" s="21" t="n"/>
    </row>
    <row r="53" ht="26" customHeight="1">
      <c r="A53" s="14" t="inlineStr">
        <is>
          <t>Client Rapport / Good-to-haves</t>
        </is>
      </c>
      <c r="B53" s="15" t="inlineStr">
        <is>
          <t>Wellness corner  (good-to-have)</t>
        </is>
      </c>
      <c r="C53" s="16" t="inlineStr">
        <is>
          <t>Massage / meditation break</t>
        </is>
      </c>
      <c r="D53" s="17" t="n">
        <v>300</v>
      </c>
      <c r="E53" s="17" t="n">
        <v>600</v>
      </c>
      <c r="F53" s="17">
        <f>IF($B$3=50,E53,D53)</f>
        <v/>
      </c>
      <c r="G53" s="18" t="n"/>
      <c r="H53" s="17">
        <f>IF(G53="","",G53-F53)</f>
        <v/>
      </c>
      <c r="I53" s="19">
        <f>IF(OR(G53="",F53=0),"",(G53-F53)/F53)</f>
        <v/>
      </c>
      <c r="J53" s="20">
        <f>IF(I53="","",IF(I53&gt;$G$3,"⚠ OVER",IF(I53&lt;-$G$3,"under","ok")))</f>
        <v/>
      </c>
      <c r="K53" s="21" t="n"/>
    </row>
    <row r="54" ht="22" customHeight="1">
      <c r="A54" s="22" t="n"/>
      <c r="B54" s="23" t="inlineStr">
        <is>
          <t>SUBTOTAL (line items)</t>
        </is>
      </c>
      <c r="C54" s="22" t="n"/>
      <c r="D54" s="24">
        <f>SUM(D7:D53)</f>
        <v/>
      </c>
      <c r="E54" s="24">
        <f>SUM(E7:E53)</f>
        <v/>
      </c>
      <c r="F54" s="24">
        <f>SUM(F7:F53)</f>
        <v/>
      </c>
      <c r="G54" s="24">
        <f>SUM(G7:G53)</f>
        <v/>
      </c>
      <c r="H54" s="24">
        <f>IF(SUM(G7:G53)=0,"",G54-F54)</f>
        <v/>
      </c>
      <c r="I54" s="25">
        <f>IF(OR(G54=0,F54=0),"",(G54-F54)/F54)</f>
        <v/>
      </c>
      <c r="J54" s="22" t="n"/>
      <c r="K54" s="22" t="n"/>
    </row>
    <row r="55" ht="22" customHeight="1">
      <c r="A55" s="22" t="n"/>
      <c r="B55" s="23" t="inlineStr">
        <is>
          <t>Contingency</t>
        </is>
      </c>
      <c r="C55" s="22" t="n"/>
      <c r="D55" s="24">
        <f>D54*$B$4</f>
        <v/>
      </c>
      <c r="E55" s="24">
        <f>E54*$B$4</f>
        <v/>
      </c>
      <c r="F55" s="24">
        <f>F54*$B$4</f>
        <v/>
      </c>
      <c r="G55" s="24" t="n"/>
      <c r="H55" s="24" t="n"/>
      <c r="I55" s="25" t="n"/>
      <c r="J55" s="22" t="n"/>
      <c r="K55" s="22" t="n"/>
    </row>
    <row r="56" ht="22" customHeight="1">
      <c r="A56" s="26" t="n"/>
      <c r="B56" s="27" t="inlineStr">
        <is>
          <t>GRAND TOTAL</t>
        </is>
      </c>
      <c r="C56" s="26" t="n"/>
      <c r="D56" s="28">
        <f>D54+D55</f>
        <v/>
      </c>
      <c r="E56" s="28">
        <f>E54+E55</f>
        <v/>
      </c>
      <c r="F56" s="28">
        <f>F54+F55</f>
        <v/>
      </c>
      <c r="G56" s="28">
        <f>SUM(G7:G53)+N(G55)</f>
        <v/>
      </c>
      <c r="H56" s="29">
        <f>IF(G56=0,"",G56-F56)</f>
        <v/>
      </c>
      <c r="I56" s="30">
        <f>IF(OR(G56=0,F56=0),"",(G56-F56)/F56)</f>
        <v/>
      </c>
      <c r="J56" s="26" t="n"/>
      <c r="K56" s="26" t="n"/>
    </row>
    <row r="58" ht="42" customHeight="1">
      <c r="A58" s="31" t="inlineStr">
        <is>
          <t>Tip: the Budgeted column auto-fills from the 20- or 50-pax estimate based on the Event size selector — overwrite any cell with your actual quote. A line flags ⚠ OVER once Actual exceeds Budgeted by more than the Variance threshold; document the why in the Reason column, then expand on it in the Over-Budget Deep Dive tab.</t>
        </is>
      </c>
    </row>
  </sheetData>
  <mergeCells count="3">
    <mergeCell ref="C2:E2"/>
    <mergeCell ref="A58:K58"/>
    <mergeCell ref="A1:K1"/>
  </mergeCells>
  <conditionalFormatting sqref="J7:J53">
    <cfRule type="cellIs" priority="1" operator="equal" dxfId="0">
      <formula>"⚠ OVER"</formula>
    </cfRule>
    <cfRule type="cellIs" priority="2" operator="equal" dxfId="1">
      <formula>"under"</formula>
    </cfRule>
  </conditionalFormatting>
  <conditionalFormatting sqref="I7:I53">
    <cfRule type="expression" priority="3" dxfId="0">
      <formula>AND($I7&lt;&gt;"",$I7&gt;$G$3)</formula>
    </cfRule>
  </conditionalFormatting>
  <conditionalFormatting sqref="K7:K53">
    <cfRule type="expression" priority="4" dxfId="2">
      <formula>AND($J7="⚠ OVER",$K7="")</formula>
    </cfRule>
  </conditionalFormatting>
  <dataValidations count="1">
    <dataValidation sqref="B3" showDropDown="0" showInputMessage="0" showErrorMessage="0" allowBlank="0" type="list">
      <formula1>"20,50"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21"/>
  <sheetViews>
    <sheetView showGridLines="0" workbookViewId="0">
      <selection activeCell="A1" sqref="A1"/>
    </sheetView>
  </sheetViews>
  <sheetFormatPr baseColWidth="8" defaultRowHeight="15"/>
  <cols>
    <col width="3" customWidth="1" min="1" max="1"/>
    <col width="30" customWidth="1" min="2" max="2"/>
    <col width="16" customWidth="1" min="3" max="3"/>
    <col width="16" customWidth="1" min="4" max="4"/>
    <col width="16" customWidth="1" min="5" max="5"/>
    <col width="14" customWidth="1" min="6" max="6"/>
    <col width="12" customWidth="1" min="7" max="7"/>
  </cols>
  <sheetData>
    <row r="1" ht="28" customHeight="1">
      <c r="B1" s="4" t="inlineStr">
        <is>
          <t>DASHBOARD  —  Budget vs Actual roll-up</t>
        </is>
      </c>
    </row>
    <row r="2">
      <c r="B2" s="32" t="inlineStr">
        <is>
          <t>Auto-calculated from the 'Budget vs Actual' tab — nothing to enter here.</t>
        </is>
      </c>
    </row>
    <row r="4" ht="24" customHeight="1">
      <c r="B4" s="13" t="inlineStr">
        <is>
          <t>Category</t>
        </is>
      </c>
      <c r="C4" s="13" t="inlineStr">
        <is>
          <t>Budgeted</t>
        </is>
      </c>
      <c r="D4" s="13" t="inlineStr">
        <is>
          <t>Actual</t>
        </is>
      </c>
      <c r="E4" s="13" t="inlineStr">
        <is>
          <t>Variance</t>
        </is>
      </c>
      <c r="F4" s="13" t="inlineStr">
        <is>
          <t>Variance %</t>
        </is>
      </c>
      <c r="G4" s="13" t="inlineStr">
        <is>
          <t>Flag</t>
        </is>
      </c>
    </row>
    <row r="5">
      <c r="B5" s="6" t="inlineStr">
        <is>
          <t>Venue &amp; Facilities</t>
        </is>
      </c>
      <c r="C5" s="18">
        <f>SUMIF('Budget vs Actual'!$A$7:$A$53,$B5,'Budget vs Actual'!$F$7:$F$53)</f>
        <v/>
      </c>
      <c r="D5" s="18">
        <f>SUMIF('Budget vs Actual'!$A$7:$A$53,$B5,'Budget vs Actual'!$G$7:$G$53)</f>
        <v/>
      </c>
      <c r="E5" s="18">
        <f>D5-C5</f>
        <v/>
      </c>
      <c r="F5" s="33">
        <f>IF(C5=0,"",(D5-C5)/C5)</f>
        <v/>
      </c>
      <c r="G5" s="34">
        <f>IF(C5=0,"",IF((D5-C5)/C5&gt;'Budget vs Actual'!$G$3,"⚠ OVER",IF((D5-C5)/C5&lt;-'Budget vs Actual'!$G$3,"under","ok")))</f>
        <v/>
      </c>
    </row>
    <row r="6">
      <c r="B6" s="35" t="inlineStr">
        <is>
          <t>Technology &amp; Tools</t>
        </is>
      </c>
      <c r="C6" s="17">
        <f>SUMIF('Budget vs Actual'!$A$7:$A$53,$B6,'Budget vs Actual'!$F$7:$F$53)</f>
        <v/>
      </c>
      <c r="D6" s="17">
        <f>SUMIF('Budget vs Actual'!$A$7:$A$53,$B6,'Budget vs Actual'!$G$7:$G$53)</f>
        <v/>
      </c>
      <c r="E6" s="17">
        <f>D6-C6</f>
        <v/>
      </c>
      <c r="F6" s="19">
        <f>IF(C6=0,"",(D6-C6)/C6)</f>
        <v/>
      </c>
      <c r="G6" s="20">
        <f>IF(C6=0,"",IF((D6-C6)/C6&gt;'Budget vs Actual'!$G$3,"⚠ OVER",IF((D6-C6)/C6&lt;-'Budget vs Actual'!$G$3,"under","ok")))</f>
        <v/>
      </c>
    </row>
    <row r="7">
      <c r="B7" s="6" t="inlineStr">
        <is>
          <t>Facilitation &amp; Talent</t>
        </is>
      </c>
      <c r="C7" s="18">
        <f>SUMIF('Budget vs Actual'!$A$7:$A$53,$B7,'Budget vs Actual'!$F$7:$F$53)</f>
        <v/>
      </c>
      <c r="D7" s="18">
        <f>SUMIF('Budget vs Actual'!$A$7:$A$53,$B7,'Budget vs Actual'!$G$7:$G$53)</f>
        <v/>
      </c>
      <c r="E7" s="18">
        <f>D7-C7</f>
        <v/>
      </c>
      <c r="F7" s="33">
        <f>IF(C7=0,"",(D7-C7)/C7)</f>
        <v/>
      </c>
      <c r="G7" s="34">
        <f>IF(C7=0,"",IF((D7-C7)/C7&gt;'Budget vs Actual'!$G$3,"⚠ OVER",IF((D7-C7)/C7&lt;-'Budget vs Actual'!$G$3,"under","ok")))</f>
        <v/>
      </c>
    </row>
    <row r="8">
      <c r="B8" s="35" t="inlineStr">
        <is>
          <t>Food &amp; Beverage</t>
        </is>
      </c>
      <c r="C8" s="17">
        <f>SUMIF('Budget vs Actual'!$A$7:$A$53,$B8,'Budget vs Actual'!$F$7:$F$53)</f>
        <v/>
      </c>
      <c r="D8" s="17">
        <f>SUMIF('Budget vs Actual'!$A$7:$A$53,$B8,'Budget vs Actual'!$G$7:$G$53)</f>
        <v/>
      </c>
      <c r="E8" s="17">
        <f>D8-C8</f>
        <v/>
      </c>
      <c r="F8" s="19">
        <f>IF(C8=0,"",(D8-C8)/C8)</f>
        <v/>
      </c>
      <c r="G8" s="20">
        <f>IF(C8=0,"",IF((D8-C8)/C8&gt;'Budget vs Actual'!$G$3,"⚠ OVER",IF((D8-C8)/C8&lt;-'Budget vs Actual'!$G$3,"under","ok")))</f>
        <v/>
      </c>
    </row>
    <row r="9">
      <c r="B9" s="6" t="inlineStr">
        <is>
          <t>Participant Experience</t>
        </is>
      </c>
      <c r="C9" s="18">
        <f>SUMIF('Budget vs Actual'!$A$7:$A$53,$B9,'Budget vs Actual'!$F$7:$F$53)</f>
        <v/>
      </c>
      <c r="D9" s="18">
        <f>SUMIF('Budget vs Actual'!$A$7:$A$53,$B9,'Budget vs Actual'!$G$7:$G$53)</f>
        <v/>
      </c>
      <c r="E9" s="18">
        <f>D9-C9</f>
        <v/>
      </c>
      <c r="F9" s="33">
        <f>IF(C9=0,"",(D9-C9)/C9)</f>
        <v/>
      </c>
      <c r="G9" s="34">
        <f>IF(C9=0,"",IF((D9-C9)/C9&gt;'Budget vs Actual'!$G$3,"⚠ OVER",IF((D9-C9)/C9&lt;-'Budget vs Actual'!$G$3,"under","ok")))</f>
        <v/>
      </c>
    </row>
    <row r="10">
      <c r="B10" s="35" t="inlineStr">
        <is>
          <t>Marketing &amp; Communications</t>
        </is>
      </c>
      <c r="C10" s="17">
        <f>SUMIF('Budget vs Actual'!$A$7:$A$53,$B10,'Budget vs Actual'!$F$7:$F$53)</f>
        <v/>
      </c>
      <c r="D10" s="17">
        <f>SUMIF('Budget vs Actual'!$A$7:$A$53,$B10,'Budget vs Actual'!$G$7:$G$53)</f>
        <v/>
      </c>
      <c r="E10" s="17">
        <f>D10-C10</f>
        <v/>
      </c>
      <c r="F10" s="19">
        <f>IF(C10=0,"",(D10-C10)/C10)</f>
        <v/>
      </c>
      <c r="G10" s="20">
        <f>IF(C10=0,"",IF((D10-C10)/C10&gt;'Budget vs Actual'!$G$3,"⚠ OVER",IF((D10-C10)/C10&lt;-'Budget vs Actual'!$G$3,"under","ok")))</f>
        <v/>
      </c>
    </row>
    <row r="11">
      <c r="B11" s="6" t="inlineStr">
        <is>
          <t>Logistics &amp; Operations</t>
        </is>
      </c>
      <c r="C11" s="18">
        <f>SUMIF('Budget vs Actual'!$A$7:$A$53,$B11,'Budget vs Actual'!$F$7:$F$53)</f>
        <v/>
      </c>
      <c r="D11" s="18">
        <f>SUMIF('Budget vs Actual'!$A$7:$A$53,$B11,'Budget vs Actual'!$G$7:$G$53)</f>
        <v/>
      </c>
      <c r="E11" s="18">
        <f>D11-C11</f>
        <v/>
      </c>
      <c r="F11" s="33">
        <f>IF(C11=0,"",(D11-C11)/C11)</f>
        <v/>
      </c>
      <c r="G11" s="34">
        <f>IF(C11=0,"",IF((D11-C11)/C11&gt;'Budget vs Actual'!$G$3,"⚠ OVER",IF((D11-C11)/C11&lt;-'Budget vs Actual'!$G$3,"under","ok")))</f>
        <v/>
      </c>
    </row>
    <row r="12">
      <c r="B12" s="35" t="inlineStr">
        <is>
          <t>Client Rapport / Good-to-haves</t>
        </is>
      </c>
      <c r="C12" s="17">
        <f>SUMIF('Budget vs Actual'!$A$7:$A$53,$B12,'Budget vs Actual'!$F$7:$F$53)</f>
        <v/>
      </c>
      <c r="D12" s="17">
        <f>SUMIF('Budget vs Actual'!$A$7:$A$53,$B12,'Budget vs Actual'!$G$7:$G$53)</f>
        <v/>
      </c>
      <c r="E12" s="17">
        <f>D12-C12</f>
        <v/>
      </c>
      <c r="F12" s="19">
        <f>IF(C12=0,"",(D12-C12)/C12)</f>
        <v/>
      </c>
      <c r="G12" s="20">
        <f>IF(C12=0,"",IF((D12-C12)/C12&gt;'Budget vs Actual'!$G$3,"⚠ OVER",IF((D12-C12)/C12&lt;-'Budget vs Actual'!$G$3,"under","ok")))</f>
        <v/>
      </c>
    </row>
    <row r="13">
      <c r="B13" s="27" t="inlineStr">
        <is>
          <t>TOTAL</t>
        </is>
      </c>
      <c r="C13" s="28">
        <f>SUM(C5:C12)</f>
        <v/>
      </c>
      <c r="D13" s="28">
        <f>SUM(D5:D12)</f>
        <v/>
      </c>
      <c r="E13" s="28">
        <f>D13-C13</f>
        <v/>
      </c>
      <c r="F13" s="36">
        <f>IF(C13=0,"",(D13-C13)/C13)</f>
        <v/>
      </c>
      <c r="G13" s="27" t="n"/>
    </row>
    <row r="16">
      <c r="B16" s="37" t="inlineStr">
        <is>
          <t>HEADLINE</t>
        </is>
      </c>
    </row>
    <row r="17">
      <c r="B17" s="38" t="inlineStr">
        <is>
          <t>Total budgeted</t>
        </is>
      </c>
      <c r="C17" s="39">
        <f>C13</f>
        <v/>
      </c>
    </row>
    <row r="18">
      <c r="B18" s="38" t="inlineStr">
        <is>
          <t>Total actual</t>
        </is>
      </c>
      <c r="C18" s="39">
        <f>D13</f>
        <v/>
      </c>
    </row>
    <row r="19">
      <c r="B19" s="38" t="inlineStr">
        <is>
          <t>Total variance</t>
        </is>
      </c>
      <c r="C19" s="39">
        <f>D13-C13</f>
        <v/>
      </c>
    </row>
    <row r="20">
      <c r="B20" s="38" t="inlineStr">
        <is>
          <t>Variance %</t>
        </is>
      </c>
      <c r="C20" s="40">
        <f>IF(C13=0,"",(D13-C13)/C13)</f>
        <v/>
      </c>
    </row>
    <row r="21">
      <c r="B21" s="38" t="inlineStr">
        <is>
          <t>Line items flagged &gt;20% over</t>
        </is>
      </c>
      <c r="C21" s="41">
        <f>COUNTIF('Budget vs Actual'!$J$7:$J$53,"⚠ OVER")</f>
        <v/>
      </c>
    </row>
  </sheetData>
  <mergeCells count="1">
    <mergeCell ref="B1:G1"/>
  </mergeCells>
  <conditionalFormatting sqref="G5:G12">
    <cfRule type="cellIs" priority="1" operator="equal" dxfId="0">
      <formula>"⚠ OVER"</formula>
    </cfRule>
  </conditionalFormatting>
  <conditionalFormatting sqref="F5:F12">
    <cfRule type="cellIs" priority="2" operator="greaterThan" dxfId="0">
      <formula>'Budget vs Actual'!$G$3</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B1:G16"/>
  <sheetViews>
    <sheetView showGridLines="0" workbookViewId="0">
      <selection activeCell="A1" sqref="A1"/>
    </sheetView>
  </sheetViews>
  <sheetFormatPr baseColWidth="8" defaultRowHeight="15"/>
  <cols>
    <col width="3" customWidth="1" min="1" max="1"/>
    <col width="26" customWidth="1" min="2" max="2"/>
    <col width="14" customWidth="1" min="3" max="3"/>
    <col width="46" customWidth="1" min="4" max="4"/>
    <col width="38" customWidth="1" min="5" max="5"/>
    <col width="40" customWidth="1" min="6" max="6"/>
    <col width="24" customWidth="1" min="7" max="7"/>
  </cols>
  <sheetData>
    <row r="1" ht="28" customHeight="1">
      <c r="B1" s="4" t="inlineStr">
        <is>
          <t>IMPACT &amp; OPPORTUNITIES</t>
        </is>
      </c>
    </row>
    <row r="2" ht="30" customHeight="1">
      <c r="B2" s="31" t="inlineStr">
        <is>
          <t>Capture the spend that delivered outsized value — the line items worth protecting or repeating — and the future opportunities each one opened (new leads, referrals, content, partnerships, capability).</t>
        </is>
      </c>
    </row>
    <row r="4" ht="30" customHeight="1">
      <c r="B4" s="13" t="inlineStr">
        <is>
          <t>Spend / element</t>
        </is>
      </c>
      <c r="C4" s="13" t="inlineStr">
        <is>
          <t>Amount spent</t>
        </is>
      </c>
      <c r="D4" s="13" t="inlineStr">
        <is>
          <t>Why it was impactful (the value it created)</t>
        </is>
      </c>
      <c r="E4" s="13" t="inlineStr">
        <is>
          <t>Evidence / signal (feedback, metric, quote)</t>
        </is>
      </c>
      <c r="F4" s="13" t="inlineStr">
        <is>
          <t>Future opportunity it opened</t>
        </is>
      </c>
      <c r="G4" s="13" t="inlineStr">
        <is>
          <t>Owner / next step</t>
        </is>
      </c>
    </row>
    <row r="5" ht="40" customHeight="1">
      <c r="B5" s="42" t="n"/>
      <c r="C5" s="43" t="n"/>
      <c r="D5" s="42" t="n"/>
      <c r="E5" s="42" t="n"/>
      <c r="F5" s="42" t="n"/>
      <c r="G5" s="42" t="n"/>
    </row>
    <row r="6" ht="40" customHeight="1">
      <c r="B6" s="21" t="n"/>
      <c r="C6" s="18" t="n"/>
      <c r="D6" s="21" t="n"/>
      <c r="E6" s="21" t="n"/>
      <c r="F6" s="21" t="n"/>
      <c r="G6" s="21" t="n"/>
    </row>
    <row r="7" ht="40" customHeight="1">
      <c r="B7" s="42" t="n"/>
      <c r="C7" s="43" t="n"/>
      <c r="D7" s="42" t="n"/>
      <c r="E7" s="42" t="n"/>
      <c r="F7" s="42" t="n"/>
      <c r="G7" s="42" t="n"/>
    </row>
    <row r="8" ht="40" customHeight="1">
      <c r="B8" s="21" t="n"/>
      <c r="C8" s="18" t="n"/>
      <c r="D8" s="21" t="n"/>
      <c r="E8" s="21" t="n"/>
      <c r="F8" s="21" t="n"/>
      <c r="G8" s="21" t="n"/>
    </row>
    <row r="9" ht="40" customHeight="1">
      <c r="B9" s="42" t="n"/>
      <c r="C9" s="43" t="n"/>
      <c r="D9" s="42" t="n"/>
      <c r="E9" s="42" t="n"/>
      <c r="F9" s="42" t="n"/>
      <c r="G9" s="42" t="n"/>
    </row>
    <row r="10" ht="40" customHeight="1">
      <c r="B10" s="21" t="n"/>
      <c r="C10" s="18" t="n"/>
      <c r="D10" s="21" t="n"/>
      <c r="E10" s="21" t="n"/>
      <c r="F10" s="21" t="n"/>
      <c r="G10" s="21" t="n"/>
    </row>
    <row r="11" ht="40" customHeight="1">
      <c r="B11" s="42" t="n"/>
      <c r="C11" s="43" t="n"/>
      <c r="D11" s="42" t="n"/>
      <c r="E11" s="42" t="n"/>
      <c r="F11" s="42" t="n"/>
      <c r="G11" s="42" t="n"/>
    </row>
    <row r="12" ht="40" customHeight="1">
      <c r="B12" s="21" t="n"/>
      <c r="C12" s="18" t="n"/>
      <c r="D12" s="21" t="n"/>
      <c r="E12" s="21" t="n"/>
      <c r="F12" s="21" t="n"/>
      <c r="G12" s="21" t="n"/>
    </row>
    <row r="13" ht="40" customHeight="1">
      <c r="B13" s="42" t="n"/>
      <c r="C13" s="43" t="n"/>
      <c r="D13" s="42" t="n"/>
      <c r="E13" s="42" t="n"/>
      <c r="F13" s="42" t="n"/>
      <c r="G13" s="42" t="n"/>
    </row>
    <row r="14" ht="40" customHeight="1">
      <c r="B14" s="21" t="n"/>
      <c r="C14" s="18" t="n"/>
      <c r="D14" s="21" t="n"/>
      <c r="E14" s="21" t="n"/>
      <c r="F14" s="21" t="n"/>
      <c r="G14" s="21" t="n"/>
    </row>
    <row r="15" ht="40" customHeight="1">
      <c r="B15" s="42" t="n"/>
      <c r="C15" s="43" t="n"/>
      <c r="D15" s="42" t="n"/>
      <c r="E15" s="42" t="n"/>
      <c r="F15" s="42" t="n"/>
      <c r="G15" s="42" t="n"/>
    </row>
    <row r="16" ht="40" customHeight="1">
      <c r="B16" s="21" t="n"/>
      <c r="C16" s="18" t="n"/>
      <c r="D16" s="21" t="n"/>
      <c r="E16" s="21" t="n"/>
      <c r="F16" s="21" t="n"/>
      <c r="G16" s="21" t="n"/>
    </row>
  </sheetData>
  <mergeCells count="2">
    <mergeCell ref="B2:G2"/>
    <mergeCell ref="B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16"/>
  <sheetViews>
    <sheetView showGridLines="0" workbookViewId="0">
      <selection activeCell="A1" sqref="A1"/>
    </sheetView>
  </sheetViews>
  <sheetFormatPr baseColWidth="8" defaultRowHeight="15"/>
  <cols>
    <col width="3" customWidth="1" min="1" max="1"/>
    <col width="24" customWidth="1" min="2" max="2"/>
    <col width="20" customWidth="1" min="3" max="3"/>
    <col width="13" customWidth="1" min="4" max="4"/>
    <col width="13" customWidth="1" min="5" max="5"/>
    <col width="12" customWidth="1" min="6" max="6"/>
    <col width="40" customWidth="1" min="7" max="7"/>
    <col width="36" customWidth="1" min="8" max="8"/>
    <col width="12" customWidth="1" min="9" max="9"/>
    <col width="40" customWidth="1" min="10" max="10"/>
  </cols>
  <sheetData>
    <row r="1" ht="28" customHeight="1">
      <c r="B1" s="4" t="inlineStr">
        <is>
          <t>OVER-BUDGET DEEP DIVE</t>
        </is>
      </c>
    </row>
    <row r="2" ht="30" customHeight="1">
      <c r="B2" s="31" t="inlineStr">
        <is>
          <t>One row per line item flagged &gt;20% over budget (see the Flag column on 'Budget vs Actual'). Diagnose the reason, assess the impact the extra spend actually delivered, and decide the way forward so the next event is better estimated.</t>
        </is>
      </c>
    </row>
    <row r="4" ht="30" customHeight="1">
      <c r="B4" s="13" t="inlineStr">
        <is>
          <t>Line item</t>
        </is>
      </c>
      <c r="C4" s="13" t="inlineStr">
        <is>
          <t>Category</t>
        </is>
      </c>
      <c r="D4" s="13" t="inlineStr">
        <is>
          <t>Budgeted</t>
        </is>
      </c>
      <c r="E4" s="13" t="inlineStr">
        <is>
          <t>Actual</t>
        </is>
      </c>
      <c r="F4" s="13" t="inlineStr">
        <is>
          <t>Variance %</t>
        </is>
      </c>
      <c r="G4" s="13" t="inlineStr">
        <is>
          <t>Reason(s) for overspend</t>
        </is>
      </c>
      <c r="H4" s="13" t="inlineStr">
        <is>
          <t>Impact it actually gave</t>
        </is>
      </c>
      <c r="I4" s="13" t="inlineStr">
        <is>
          <t>Worth it? (Y/N)</t>
        </is>
      </c>
      <c r="J4" s="13" t="inlineStr">
        <is>
          <t>Way forward / action for next time</t>
        </is>
      </c>
    </row>
    <row r="5" ht="40" customHeight="1">
      <c r="B5" s="42" t="n"/>
      <c r="C5" s="42" t="n"/>
      <c r="D5" s="43" t="n"/>
      <c r="E5" s="43" t="n"/>
      <c r="F5" s="44" t="n"/>
      <c r="G5" s="42" t="n"/>
      <c r="H5" s="42" t="n"/>
      <c r="I5" s="45" t="n"/>
      <c r="J5" s="42" t="n"/>
    </row>
    <row r="6" ht="40" customHeight="1">
      <c r="B6" s="21" t="n"/>
      <c r="C6" s="21" t="n"/>
      <c r="D6" s="18" t="n"/>
      <c r="E6" s="18" t="n"/>
      <c r="F6" s="33" t="n"/>
      <c r="G6" s="21" t="n"/>
      <c r="H6" s="21" t="n"/>
      <c r="I6" s="34" t="n"/>
      <c r="J6" s="21" t="n"/>
    </row>
    <row r="7" ht="40" customHeight="1">
      <c r="B7" s="42" t="n"/>
      <c r="C7" s="42" t="n"/>
      <c r="D7" s="43" t="n"/>
      <c r="E7" s="43" t="n"/>
      <c r="F7" s="44" t="n"/>
      <c r="G7" s="42" t="n"/>
      <c r="H7" s="42" t="n"/>
      <c r="I7" s="45" t="n"/>
      <c r="J7" s="42" t="n"/>
    </row>
    <row r="8" ht="40" customHeight="1">
      <c r="B8" s="21" t="n"/>
      <c r="C8" s="21" t="n"/>
      <c r="D8" s="18" t="n"/>
      <c r="E8" s="18" t="n"/>
      <c r="F8" s="33" t="n"/>
      <c r="G8" s="21" t="n"/>
      <c r="H8" s="21" t="n"/>
      <c r="I8" s="34" t="n"/>
      <c r="J8" s="21" t="n"/>
    </row>
    <row r="9" ht="40" customHeight="1">
      <c r="B9" s="42" t="n"/>
      <c r="C9" s="42" t="n"/>
      <c r="D9" s="43" t="n"/>
      <c r="E9" s="43" t="n"/>
      <c r="F9" s="44" t="n"/>
      <c r="G9" s="42" t="n"/>
      <c r="H9" s="42" t="n"/>
      <c r="I9" s="45" t="n"/>
      <c r="J9" s="42" t="n"/>
    </row>
    <row r="10" ht="40" customHeight="1">
      <c r="B10" s="21" t="n"/>
      <c r="C10" s="21" t="n"/>
      <c r="D10" s="18" t="n"/>
      <c r="E10" s="18" t="n"/>
      <c r="F10" s="33" t="n"/>
      <c r="G10" s="21" t="n"/>
      <c r="H10" s="21" t="n"/>
      <c r="I10" s="34" t="n"/>
      <c r="J10" s="21" t="n"/>
    </row>
    <row r="11" ht="40" customHeight="1">
      <c r="B11" s="42" t="n"/>
      <c r="C11" s="42" t="n"/>
      <c r="D11" s="43" t="n"/>
      <c r="E11" s="43" t="n"/>
      <c r="F11" s="44" t="n"/>
      <c r="G11" s="42" t="n"/>
      <c r="H11" s="42" t="n"/>
      <c r="I11" s="45" t="n"/>
      <c r="J11" s="42" t="n"/>
    </row>
    <row r="12" ht="40" customHeight="1">
      <c r="B12" s="21" t="n"/>
      <c r="C12" s="21" t="n"/>
      <c r="D12" s="18" t="n"/>
      <c r="E12" s="18" t="n"/>
      <c r="F12" s="33" t="n"/>
      <c r="G12" s="21" t="n"/>
      <c r="H12" s="21" t="n"/>
      <c r="I12" s="34" t="n"/>
      <c r="J12" s="21" t="n"/>
    </row>
    <row r="13" ht="40" customHeight="1">
      <c r="B13" s="42" t="n"/>
      <c r="C13" s="42" t="n"/>
      <c r="D13" s="43" t="n"/>
      <c r="E13" s="43" t="n"/>
      <c r="F13" s="44" t="n"/>
      <c r="G13" s="42" t="n"/>
      <c r="H13" s="42" t="n"/>
      <c r="I13" s="45" t="n"/>
      <c r="J13" s="42" t="n"/>
    </row>
    <row r="14" ht="40" customHeight="1">
      <c r="B14" s="21" t="n"/>
      <c r="C14" s="21" t="n"/>
      <c r="D14" s="18" t="n"/>
      <c r="E14" s="18" t="n"/>
      <c r="F14" s="33" t="n"/>
      <c r="G14" s="21" t="n"/>
      <c r="H14" s="21" t="n"/>
      <c r="I14" s="34" t="n"/>
      <c r="J14" s="21" t="n"/>
    </row>
    <row r="15" ht="40" customHeight="1">
      <c r="B15" s="42" t="n"/>
      <c r="C15" s="42" t="n"/>
      <c r="D15" s="43" t="n"/>
      <c r="E15" s="43" t="n"/>
      <c r="F15" s="44" t="n"/>
      <c r="G15" s="42" t="n"/>
      <c r="H15" s="42" t="n"/>
      <c r="I15" s="45" t="n"/>
      <c r="J15" s="42" t="n"/>
    </row>
    <row r="16" ht="40" customHeight="1">
      <c r="B16" s="21" t="n"/>
      <c r="C16" s="21" t="n"/>
      <c r="D16" s="18" t="n"/>
      <c r="E16" s="18" t="n"/>
      <c r="F16" s="33" t="n"/>
      <c r="G16" s="21" t="n"/>
      <c r="H16" s="21" t="n"/>
      <c r="I16" s="34" t="n"/>
      <c r="J16" s="21" t="n"/>
    </row>
  </sheetData>
  <mergeCells count="2">
    <mergeCell ref="B1:J1"/>
    <mergeCell ref="B2:J2"/>
  </mergeCells>
  <dataValidations count="1">
    <dataValidation sqref="I5:I16" showDropDown="0" showInputMessage="0" showErrorMessage="0" allowBlank="1" type="list">
      <formula1>"Yes,No,Partly"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2026-06-27T12:13:38Z</dcterms:created>
  <dcterms:modified xsi:type="dcterms:W3CDTF">2026-06-27T12:13:38Z</dcterms:modified>
</cp:coreProperties>
</file>